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drawings/drawing7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asys-api-samples\GSA\COM API\VBA\"/>
    </mc:Choice>
  </mc:AlternateContent>
  <xr:revisionPtr revIDLastSave="0" documentId="8_{FC85C652-28B6-4D6C-AEA0-E81E74DEBF27}" xr6:coauthVersionLast="47" xr6:coauthVersionMax="47" xr10:uidLastSave="{00000000-0000-0000-0000-000000000000}"/>
  <bookViews>
    <workbookView xWindow="3585" yWindow="285" windowWidth="51600" windowHeight="20865" tabRatio="642"/>
  </bookViews>
  <sheets>
    <sheet name="Excel To GSA" sheetId="1" r:id="rId1"/>
    <sheet name="GSA To Excel" sheetId="2" r:id="rId2"/>
    <sheet name="List Query" sheetId="3" r:id="rId3"/>
    <sheet name="GSA To Excel Tidy" sheetId="4" r:id="rId4"/>
    <sheet name="Print or Save Views" sheetId="5" r:id="rId5"/>
    <sheet name="Case Interrogation" sheetId="8" r:id="rId6"/>
    <sheet name="Output" sheetId="7" r:id="rId7"/>
    <sheet name="Remote Interface" sheetId="6" r:id="rId8"/>
    <sheet name="Version Check" sheetId="9" r:id="rId9"/>
    <sheet name="ExtractBeamResults" sheetId="10" r:id="rId10"/>
    <sheet name="Renumber Entities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1" l="1"/>
  <c r="B11" i="11"/>
  <c r="B10" i="11"/>
  <c r="B9" i="11"/>
  <c r="B8" i="11"/>
  <c r="B7" i="11"/>
</calcChain>
</file>

<file path=xl/sharedStrings.xml><?xml version="1.0" encoding="utf-8"?>
<sst xmlns="http://schemas.openxmlformats.org/spreadsheetml/2006/main" count="506" uniqueCount="351">
  <si>
    <t>in</t>
  </si>
  <si>
    <t>TITLE</t>
  </si>
  <si>
    <t>SPEC</t>
  </si>
  <si>
    <t>SPACE</t>
  </si>
  <si>
    <t>UNIT_DATA</t>
  </si>
  <si>
    <t>FORCE</t>
  </si>
  <si>
    <t>kip</t>
  </si>
  <si>
    <t>LENGTH</t>
  </si>
  <si>
    <t>ft</t>
  </si>
  <si>
    <t>DISP</t>
  </si>
  <si>
    <t>MASS</t>
  </si>
  <si>
    <t>slug</t>
  </si>
  <si>
    <t>TIME</t>
  </si>
  <si>
    <t>s</t>
  </si>
  <si>
    <t>TEMP</t>
  </si>
  <si>
    <t>°F</t>
  </si>
  <si>
    <t>STRESS</t>
  </si>
  <si>
    <t>kip/in²</t>
  </si>
  <si>
    <t>ACCEL</t>
  </si>
  <si>
    <t>ft/s²</t>
  </si>
  <si>
    <t>RC_BAR</t>
  </si>
  <si>
    <t>TOL</t>
  </si>
  <si>
    <t>SPEC_DESIGN</t>
  </si>
  <si>
    <t>SPEC_BRIDGE</t>
  </si>
  <si>
    <t>CODE_NONE</t>
  </si>
  <si>
    <t>ULSCOMBO1_YES</t>
  </si>
  <si>
    <t>ULSCOMBO3_YES</t>
  </si>
  <si>
    <t>SLSCOMBO1_YES</t>
  </si>
  <si>
    <t>VEH_H15_44</t>
  </si>
  <si>
    <t>LIST</t>
  </si>
  <si>
    <t>List 1</t>
  </si>
  <si>
    <t>NODE</t>
  </si>
  <si>
    <t xml:space="preserve">1 to 100 </t>
  </si>
  <si>
    <t>List 2</t>
  </si>
  <si>
    <t>ELEMENT</t>
  </si>
  <si>
    <t xml:space="preserve">101 to 200 </t>
  </si>
  <si>
    <t>List 3</t>
  </si>
  <si>
    <t>CASE</t>
  </si>
  <si>
    <t xml:space="preserve">201 to 300 </t>
  </si>
  <si>
    <t>CURRENCY</t>
  </si>
  <si>
    <t>GBP</t>
  </si>
  <si>
    <t>AXIS</t>
  </si>
  <si>
    <t>Axis 1</t>
  </si>
  <si>
    <t>CART</t>
  </si>
  <si>
    <t>SPC</t>
  </si>
  <si>
    <t>SUPPORT</t>
  </si>
  <si>
    <t>EL_BEAM</t>
  </si>
  <si>
    <t>GRID_PLANE</t>
  </si>
  <si>
    <t>Grid plane 1</t>
  </si>
  <si>
    <t>ELEV</t>
  </si>
  <si>
    <t xml:space="preserve">all </t>
  </si>
  <si>
    <t>ONE</t>
  </si>
  <si>
    <t>STOREY_ELEV</t>
  </si>
  <si>
    <t>Storey 1</t>
  </si>
  <si>
    <t>POLYLINE_2D</t>
  </si>
  <si>
    <t>2D Polyline 1</t>
  </si>
  <si>
    <t>\</t>
  </si>
  <si>
    <t>SEC_BEAM</t>
  </si>
  <si>
    <t>Column</t>
  </si>
  <si>
    <t>CONC_SHORT</t>
  </si>
  <si>
    <t>STD%R%450.%300.</t>
  </si>
  <si>
    <t>NA</t>
  </si>
  <si>
    <t>Beam</t>
  </si>
  <si>
    <t>STEEL</t>
  </si>
  <si>
    <t>CAT%UB%UB610x229x101%19990407</t>
  </si>
  <si>
    <t>PROP_SPR</t>
  </si>
  <si>
    <t>Spring property 1</t>
  </si>
  <si>
    <t>LOCAL</t>
  </si>
  <si>
    <t>GEN</t>
  </si>
  <si>
    <t>TRAN</t>
  </si>
  <si>
    <t>STIFF</t>
  </si>
  <si>
    <t>PROP_MASS</t>
  </si>
  <si>
    <t>Mass property 1</t>
  </si>
  <si>
    <t>GLOBAL</t>
  </si>
  <si>
    <t>PROP_2D</t>
  </si>
  <si>
    <t>2D property 1</t>
  </si>
  <si>
    <t>SHELL</t>
  </si>
  <si>
    <t>PROP_CABLE</t>
  </si>
  <si>
    <t>Cable property 1</t>
  </si>
  <si>
    <t>PROP_SPACER</t>
  </si>
  <si>
    <t>Spacer property 1</t>
  </si>
  <si>
    <t>GEODESIC</t>
  </si>
  <si>
    <t>PROPORTIONAL</t>
  </si>
  <si>
    <t>SOAP_STRESS_1D</t>
  </si>
  <si>
    <t>Bar soap film 1</t>
  </si>
  <si>
    <t>SOAP_STRESS_2D</t>
  </si>
  <si>
    <t>2D soap film 1</t>
  </si>
  <si>
    <t>FORCE_DENSITY_1D</t>
  </si>
  <si>
    <t>Bar force density 1</t>
  </si>
  <si>
    <t>FORCE_DENSITY_2D</t>
  </si>
  <si>
    <t>2D force density 1</t>
  </si>
  <si>
    <t>STEEL_BEAM_DES</t>
  </si>
  <si>
    <t>Design property 1</t>
  </si>
  <si>
    <t>S275</t>
  </si>
  <si>
    <t>OVER</t>
  </si>
  <si>
    <t>DESIGN_STEEL_REST_PROP</t>
  </si>
  <si>
    <t>Steel Rest Prop 1</t>
  </si>
  <si>
    <t>DES_NODE</t>
  </si>
  <si>
    <t>enc</t>
  </si>
  <si>
    <t>MAT_ISO</t>
  </si>
  <si>
    <t>Material 1</t>
  </si>
  <si>
    <t>N/A</t>
  </si>
  <si>
    <t>MAT_FABRIC</t>
  </si>
  <si>
    <t>Fabric 1</t>
  </si>
  <si>
    <t>SPECTRUM</t>
  </si>
  <si>
    <t>Spectrum 1</t>
  </si>
  <si>
    <t>IBC2000</t>
  </si>
  <si>
    <t>D</t>
  </si>
  <si>
    <t>OTHER</t>
  </si>
  <si>
    <t>YES</t>
  </si>
  <si>
    <t>BASIC_RES</t>
  </si>
  <si>
    <t>Basic response 1</t>
  </si>
  <si>
    <t>X</t>
  </si>
  <si>
    <t>CQC</t>
  </si>
  <si>
    <t>LOAD_TITLE</t>
  </si>
  <si>
    <t>Dead load</t>
  </si>
  <si>
    <t>DEAD</t>
  </si>
  <si>
    <t>BRIDGE_NO</t>
  </si>
  <si>
    <t>SETTLE</t>
  </si>
  <si>
    <t xml:space="preserve">none </t>
  </si>
  <si>
    <t>Z</t>
  </si>
  <si>
    <t>DISP_NODE</t>
  </si>
  <si>
    <t>LOAD_GRAV</t>
  </si>
  <si>
    <t>LOAD_NODE</t>
  </si>
  <si>
    <t>LOAD_BEAM_POINT</t>
  </si>
  <si>
    <t>NO</t>
  </si>
  <si>
    <t>LOAD_BEAM_UDL</t>
  </si>
  <si>
    <t>LOAD_BEAM_LINE</t>
  </si>
  <si>
    <t>LOAD_BEAM_PATCH</t>
  </si>
  <si>
    <t>LOAD_BEAM_TRILIN</t>
  </si>
  <si>
    <t>LOAD_BEAM_DIST</t>
  </si>
  <si>
    <t>LOAD_BEAM_PRE</t>
  </si>
  <si>
    <t>LOAD_BEAM_STRN</t>
  </si>
  <si>
    <t>LOAD_BEAM_LENG</t>
  </si>
  <si>
    <t>LOAD_BEAM_TEN</t>
  </si>
  <si>
    <t>LOAD_2D_EDGE</t>
  </si>
  <si>
    <t>LOAD_2D_FACE</t>
  </si>
  <si>
    <t>CONS</t>
  </si>
  <si>
    <t>LOAD_2D_PRE</t>
  </si>
  <si>
    <t>BOTH</t>
  </si>
  <si>
    <t>LOAD_2D_STRN</t>
  </si>
  <si>
    <t>TEMP_BEAM</t>
  </si>
  <si>
    <t>DY</t>
  </si>
  <si>
    <t>TEMP_2D</t>
  </si>
  <si>
    <t>DZ</t>
  </si>
  <si>
    <t>LOAD_GRID_POINT</t>
  </si>
  <si>
    <t>LOAD_GRID_LINE</t>
  </si>
  <si>
    <t>LOAD_GRID_AREA</t>
  </si>
  <si>
    <t>PLANE</t>
  </si>
  <si>
    <t>USER_VEHICLE</t>
  </si>
  <si>
    <t>Vehicle 1</t>
  </si>
  <si>
    <t>ALIGN</t>
  </si>
  <si>
    <t>Alignment 1</t>
  </si>
  <si>
    <t>PATH</t>
  </si>
  <si>
    <t>Path 1</t>
  </si>
  <si>
    <t>LANE</t>
  </si>
  <si>
    <t>Path 2</t>
  </si>
  <si>
    <t>TRACK</t>
  </si>
  <si>
    <t>ST_BRIDGE_LOAD</t>
  </si>
  <si>
    <t>Bridge load 1</t>
  </si>
  <si>
    <t>UDL</t>
  </si>
  <si>
    <t>HB45-6</t>
  </si>
  <si>
    <t>MV_BRIDGE_LOAD</t>
  </si>
  <si>
    <t>KEL</t>
  </si>
  <si>
    <t>PATH_LOAD</t>
  </si>
  <si>
    <t>VUDL_KEL</t>
  </si>
  <si>
    <t>VEH_VUDL</t>
  </si>
  <si>
    <t>INF_NODE</t>
  </si>
  <si>
    <t>Influence node 1</t>
  </si>
  <si>
    <t>INF_BEAM</t>
  </si>
  <si>
    <t>Influence beam 1</t>
  </si>
  <si>
    <t>YY</t>
  </si>
  <si>
    <t>Influence beam 2</t>
  </si>
  <si>
    <t>END</t>
  </si>
  <si>
    <t>Transferring data from Excel to GSA</t>
  </si>
  <si>
    <t>GSA file:</t>
  </si>
  <si>
    <t>Data:</t>
  </si>
  <si>
    <t>Notes:</t>
  </si>
  <si>
    <t>This example uses a small VBA function and the GSA com interface to create a new GSA file.</t>
  </si>
  <si>
    <t>The data is in this example is in GWA format with each field in a separate cell. The macro concatenates the cells and sends the string to GSA.</t>
  </si>
  <si>
    <t>! Now specification and units</t>
  </si>
  <si>
    <t>! now the rest of the data</t>
  </si>
  <si>
    <t>Extracting data from GSA</t>
  </si>
  <si>
    <t>Nodes</t>
  </si>
  <si>
    <t>Displacements</t>
  </si>
  <si>
    <t>Elements</t>
  </si>
  <si>
    <t>Moments</t>
  </si>
  <si>
    <t>The data to be transferred (within the blue outline) should be selected and you then run the macro "SendGwaCommandsInSelectedRange"</t>
  </si>
  <si>
    <t>Run the "ExtractFromGSA" macro and the data is transferred from the GSA file and placed in the columns (within the blue outline).</t>
  </si>
  <si>
    <t>To use this example you set the GSA file for output in the red cell - this file should not exist as it will be created for you.</t>
  </si>
  <si>
    <t>The format is as documented for the ASCII files, blank lines can be included and lines starting with "!" are ignored</t>
  </si>
  <si>
    <t>To use this example you set the GSA file in the red cell - this file should exist and have results in analysis case 1</t>
  </si>
  <si>
    <t>This example uses a small VBA function and the GSA com interface to extract data and results (from analysis case 1) from GSA.</t>
  </si>
  <si>
    <t>ADD</t>
  </si>
  <si>
    <t>SET_AT</t>
  </si>
  <si>
    <t>all</t>
  </si>
  <si>
    <t>1 to 5 not 3</t>
  </si>
  <si>
    <t>pb1</t>
  </si>
  <si>
    <t>1 3 4</t>
  </si>
  <si>
    <t>2 4 6</t>
  </si>
  <si>
    <t>Elements in list</t>
  </si>
  <si>
    <t>This example uses a small VBA function and the GSA com interface to extract and interrogate list information from GSA.</t>
  </si>
  <si>
    <t>To use this example you set the GSA file in the red cell - this file should exist and have some beam loads</t>
  </si>
  <si>
    <t>GSA List</t>
  </si>
  <si>
    <t>from VB</t>
  </si>
  <si>
    <t>from GSA Arg function</t>
  </si>
  <si>
    <t>Elements specified in the list string are not included if they do not exist</t>
  </si>
  <si>
    <t>Run the "CheckGSALists" macro and the beam load records are read from the GSA file and the list information is placed in the columns (within the blue outline).</t>
  </si>
  <si>
    <t>Node</t>
  </si>
  <si>
    <t>x</t>
  </si>
  <si>
    <t>y</t>
  </si>
  <si>
    <t>z</t>
  </si>
  <si>
    <t>Element</t>
  </si>
  <si>
    <t>prop</t>
  </si>
  <si>
    <t>group</t>
  </si>
  <si>
    <t>topology</t>
  </si>
  <si>
    <t>type</t>
  </si>
  <si>
    <t>Extracting data from GSA in a Tidy manner</t>
  </si>
  <si>
    <t>Run the "ExtractFromGSATidy" macro and the data is transferred from the GSA file and placed in the columns (within the blue outline).</t>
  </si>
  <si>
    <t>Extracting list information from GSA</t>
  </si>
  <si>
    <t>Printing and saving views from GSA</t>
  </si>
  <si>
    <t>This example uses a VBA function and the GSA COM interface to print or save to file saved views from GSA.</t>
  </si>
  <si>
    <t>Press the "Output" button to print or save as specified.</t>
  </si>
  <si>
    <t>To use this example:</t>
  </si>
  <si>
    <t>Views to be printed</t>
  </si>
  <si>
    <t>Views to be saved</t>
  </si>
  <si>
    <t>File format</t>
  </si>
  <si>
    <t>the name of a saved view or view list</t>
  </si>
  <si>
    <t>ALL_PGV      - all preferred Graphic Views</t>
  </si>
  <si>
    <t>ALL_SGV      - all saved Graphic Views</t>
  </si>
  <si>
    <t>ALL_POV      - all preferred Output Views</t>
  </si>
  <si>
    <t>ALL_SOV      - all saved Output Views</t>
  </si>
  <si>
    <t>ALL_LST      - all views in all View Lists</t>
  </si>
  <si>
    <t>TAGGED_PGV   - selected preferred Graphic Views</t>
  </si>
  <si>
    <t>TAGGED_SGV   - selected saved Graphic Views</t>
  </si>
  <si>
    <t>TAGGED_POV   - selected preferred Output Views</t>
  </si>
  <si>
    <t>TAGGED_SOV   - selected saved Output Views</t>
  </si>
  <si>
    <t>TAGGED_LST   - all views in selected View Lists</t>
  </si>
  <si>
    <t>For each view to be saved specify the file format.</t>
  </si>
  <si>
    <t>When saving to file, Graphic Views may be saved to WMF, PNG or JPEG file and Output Views may be saved to TXT, CSV or HTML file.</t>
  </si>
  <si>
    <t>WMF, PNG or JPEG are valid entries for Graphic Views</t>
  </si>
  <si>
    <t>TXT, CSV or HTML are valid entries for Output Views</t>
  </si>
  <si>
    <t>(GSA will ignore invalid entries.)</t>
  </si>
  <si>
    <t>TAGGED_SGV</t>
  </si>
  <si>
    <t>view list A</t>
  </si>
  <si>
    <t>PNG</t>
  </si>
  <si>
    <t>view list B</t>
  </si>
  <si>
    <t>TXT</t>
  </si>
  <si>
    <t>GwaCommand:</t>
  </si>
  <si>
    <t>SET,SEC_BEAM,1,Section A,STEEL,STD%R%500.%50.,NA,0</t>
  </si>
  <si>
    <t>Remote GSA Interface</t>
  </si>
  <si>
    <t>Various single step commands are available on this page.</t>
  </si>
  <si>
    <t>Try opening a GSA session then driving it using these commands.</t>
  </si>
  <si>
    <t>Value returned:</t>
  </si>
  <si>
    <t>Specify the GSA file - this file should exist and have some saved views.</t>
  </si>
  <si>
    <t xml:space="preserve">Specify the views to be printed or saved.  - valid entries are as follows: </t>
  </si>
  <si>
    <t>Extracting derived output from GSA</t>
  </si>
  <si>
    <t>This example uses VBA functions and the GSA COM interface to extract processed data from a GSA data file.</t>
  </si>
  <si>
    <t>All output that GSA can contour and most that GSA can tabulate in Output Views can be extracted.</t>
  </si>
  <si>
    <t>Specify the GSA file - this file should exist.</t>
  </si>
  <si>
    <t>Specify the case to be considered. Analysis cases and combinations are valid. E.g.:</t>
  </si>
  <si>
    <t>A2      - analysis case 2</t>
  </si>
  <si>
    <t>C2      - combination case 2 (enveloping case not valid)</t>
  </si>
  <si>
    <t>C2max      - maximum value of combination case 2 (must be an enveloping case)</t>
  </si>
  <si>
    <t>C2min      - minimum value of combination case 2 (must be an enveloping case)</t>
  </si>
  <si>
    <t>C2abs      - maximum absolute value of combination case 2 (must be an enveloping case)</t>
  </si>
  <si>
    <t>C2signabs      - maximum absolute value of combination case 2, retaining the sign (must be an enveloping case)</t>
  </si>
  <si>
    <t>Specify the data reference to be considered. This is a seven or eight digit integer.  Refer to Docs\Output_DataRef.txt for valid entries.</t>
  </si>
  <si>
    <t>Specify the node, element or record number, depending on current data reference, to be considered.</t>
  </si>
  <si>
    <t>The number of positions available for this item is displayed to the right of this entry.</t>
  </si>
  <si>
    <t>Specify the position number to be considered.</t>
  </si>
  <si>
    <t>For element based data this should be a zero based integer less than the number of positions available.</t>
  </si>
  <si>
    <t>Otherwise this entry is ignored..</t>
  </si>
  <si>
    <t>The title of this data is displayed to the right of this entry.</t>
  </si>
  <si>
    <t>Case:</t>
  </si>
  <si>
    <t>C2p42      - permutation 42 of combination case 2 (must be an enveloping case)</t>
  </si>
  <si>
    <t>Data reference:</t>
  </si>
  <si>
    <t>Node/Element/Record:</t>
  </si>
  <si>
    <t>Title:</t>
  </si>
  <si>
    <t>(e.g. A2 C2 C2min C2p42)</t>
  </si>
  <si>
    <t>(6 or 7 digit integer)</t>
  </si>
  <si>
    <t>Num.Pos:</t>
  </si>
  <si>
    <t>Position</t>
  </si>
  <si>
    <t>Value</t>
  </si>
  <si>
    <t>Units:</t>
  </si>
  <si>
    <t>Interrogating GSA cases</t>
  </si>
  <si>
    <t>Press the "Open" button to open the specified file.</t>
  </si>
  <si>
    <t>Press the "Output" button to output for the specified case / data / item.</t>
  </si>
  <si>
    <t>Press the "Output" button to display case information for this file.</t>
  </si>
  <si>
    <t>This example uses VBA functions and the GSA COM interface to display case information for a GSA data file.</t>
  </si>
  <si>
    <t>Example GWACommand commands:</t>
  </si>
  <si>
    <t>USER_MOD_NODE_TITLE, 0, fred, LENGTH</t>
  </si>
  <si>
    <t>USER_MOD_NODE, 0, 2, 2.2</t>
  </si>
  <si>
    <t>HIGHEST, USER_MOD_NODE_TITLE</t>
  </si>
  <si>
    <t>DELETE, USER_MOD_NODE_TITLE, 1</t>
  </si>
  <si>
    <t>Comments:</t>
  </si>
  <si>
    <t>Set the value for node 2 in the highest numbered nodal user module</t>
  </si>
  <si>
    <t>Get the highest numbered nodal user module</t>
  </si>
  <si>
    <t>Delete the whole of nodal user module 1</t>
  </si>
  <si>
    <t>Append a new nodal user module called fred</t>
  </si>
  <si>
    <t>Version Check</t>
  </si>
  <si>
    <t>Reports the version of the GSA components of the version of GSA being accessed via COM</t>
  </si>
  <si>
    <t>filename</t>
  </si>
  <si>
    <t>case</t>
  </si>
  <si>
    <t>A1</t>
  </si>
  <si>
    <t>elem</t>
  </si>
  <si>
    <t>dataref</t>
  </si>
  <si>
    <t>end1</t>
  </si>
  <si>
    <t>end2</t>
  </si>
  <si>
    <t xml:space="preserve">				REF_FORCE_EL1D_FX			,</t>
  </si>
  <si>
    <t xml:space="preserve">				REF_FORCE_EL1D_FY			,</t>
  </si>
  <si>
    <t xml:space="preserve">				REF_FORCE_EL1D_FZ			,</t>
  </si>
  <si>
    <t xml:space="preserve">				REF_FORCE_EL1D_FRC			,</t>
  </si>
  <si>
    <t xml:space="preserve">				REF_FORCE_EL1D_MXX			,</t>
  </si>
  <si>
    <t xml:space="preserve">				REF_FORCE_EL1D_MYY			,</t>
  </si>
  <si>
    <t xml:space="preserve">				REF_FORCE_EL1D_MZZ			,</t>
  </si>
  <si>
    <t xml:space="preserve">				REF_FORCE_EL1D_MOM			,</t>
  </si>
  <si>
    <t>GSA Filename</t>
  </si>
  <si>
    <t>Select from</t>
  </si>
  <si>
    <t>Select Entity</t>
  </si>
  <si>
    <t>Old Reference</t>
  </si>
  <si>
    <t>New Reference</t>
  </si>
  <si>
    <t>output required at</t>
  </si>
  <si>
    <t>include interesting points</t>
  </si>
  <si>
    <t>intermediete points</t>
  </si>
  <si>
    <t>0 for no, 1 for yes</t>
  </si>
  <si>
    <t>positions</t>
  </si>
  <si>
    <t>number of intermediete positions on element</t>
  </si>
  <si>
    <t>This sheet/macro demonstrates the use of Output APIs for simple 1D element results.</t>
  </si>
  <si>
    <t>The number of intermediete points on which results is available can be modified by tweaking the parameters</t>
  </si>
  <si>
    <t>C:\Program Files\Oasys\GSA 8.6\Samples\Stair.gwb</t>
  </si>
  <si>
    <t>DELETE,LOAD_BEAM_PRE,1</t>
  </si>
  <si>
    <t>N</t>
  </si>
  <si>
    <t>Connected Element Index</t>
  </si>
  <si>
    <t>(for Elem forces on nodes)</t>
  </si>
  <si>
    <t>Nodal Force, Fy</t>
  </si>
  <si>
    <t>Element reference</t>
  </si>
  <si>
    <t>node</t>
  </si>
  <si>
    <t>c:\ComSample\from_excel.gwb</t>
  </si>
  <si>
    <t>c:\ComSample\to_excel.gwb</t>
  </si>
  <si>
    <t>File stair.gwb can be downloaded from "https://samples.oasys-software.com/gsa/10.2/General/Stair.gwb"</t>
  </si>
  <si>
    <t xml:space="preserve">GSA                 	10.2.0.175_x000D_
AdData           	52.3.0.175_x000D_
GdSpec           	10.2.0.175_x000D_
GSA_DES_AISC_360_05 	52.3.0.175_x000D_
GSA_DES_AISC_360_10 	52.3.0.175_x000D_
GSA_DES_AS4100_98 	52.3.0.175_x000D_
GSA_DES_AS4100_2020 	52.3.0.175_x000D_
GSA_DES_BS5950_1_2000 	52.3.0.175_x000D_
GSA_DES_CSA_S16_09 	52.3.0.175_x000D_
GSA_DES_EC3_2005 	52.3.0.175_x000D_
GSA_DES_HKSUOS_05 	52.3.0.175_x000D_
GSA_DES_IS800_1984 	52.3.0.175_x000D_
GSA_DES_IS800_2007 	52.3.0.175_x000D_
GSA_DES_LRFD3 	52.3.0.175_x000D_
GSA_DES_Rc2D 	10.2.0.175_x000D_
GSA_DES_SANS10162_1_2011 	52.3.0.175_x000D_
GSA_DES_StressCheck 	52.3.0.175_x000D_
Gsa_Export_Cad 	10.2.0.175_x000D_
Gsa_Import_Cad 	10.2.0.175_x000D_
GsaAnalysisManager 	10.2.0.175_x000D_
GsAdc             	10.2.0.175_x000D_
GsBridge       	10.2.0.175_x000D_
GsCheck         	10.2.0.175_x000D_
GsEnvelope   	10.2.0.175_x000D_
GsExport       	10.2.0.175_x000D_
GsGraph         	10.2.0.175_x000D_
GsRaft           	10.2.0.175_x000D_
GsRelax         	10.2.0.175_x000D_
GSS                 	52.3.0.175_x000D_
GsTable         	10.2.0.175_x000D_
GwDat             	52.3.0.175_x000D_
gsa_api_sdk 	52.3.0.175_x000D_
gsa_calculation 	52.3.0.175_x000D_
gsa_manipulation 	52.3.0.175_x000D_
gsa_model     	52.3.0.175_x000D_
gsa_persistence 	52.3.0.175_x000D_
gsa_ui_view_model 	52.3.0.175_x000D_
IfcGsa           	10.2.0.175_x000D_
OaData           	52.3.0.175_x000D_
OaNumeric     	52.3.0.175_x000D_
OaSect           	52.3.0.175_x000D_
OaUtil           	52.3.0.175_x000D_
OaWin             	52.3.0.175_x000D_
PDDCal           	52.3.0.175_x000D_
steel_code_interface 	52.3.0.175_x000D_
OaWin             	52.3.0.175_x000D_
WaveLoad       	10.2.0.175_x000D_
</t>
  </si>
  <si>
    <t>c:\ComSample\extract_list_from_gsa.gwb</t>
  </si>
  <si>
    <t>C:\ComSample\stair.gwb</t>
  </si>
  <si>
    <t xml:space="preserve">NODE, ELEMENT, MEMBER </t>
  </si>
  <si>
    <t>C:\ComSample\renumber.gwb</t>
  </si>
  <si>
    <t>Load Cases</t>
  </si>
  <si>
    <t>Analysis Cases</t>
  </si>
  <si>
    <t>Combination Cases</t>
  </si>
  <si>
    <t>c:\ComSample\interrogate_case.gwb</t>
  </si>
  <si>
    <t>c:\ComSample\views.gwb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</si>
</sst>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8"/>
      <name val="Arial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thick">
        <color indexed="12"/>
      </left>
      <right/>
      <top style="thick">
        <color indexed="12"/>
      </top>
      <bottom/>
      <diagonal/>
    </border>
    <border>
      <left/>
      <right/>
      <top style="thick">
        <color indexed="12"/>
      </top>
      <bottom/>
      <diagonal/>
    </border>
    <border>
      <left/>
      <right style="thick">
        <color indexed="12"/>
      </right>
      <top style="thick">
        <color indexed="12"/>
      </top>
      <bottom/>
      <diagonal/>
    </border>
    <border>
      <left style="thick">
        <color indexed="12"/>
      </left>
      <right/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/>
      <top/>
      <bottom style="thick">
        <color indexed="12"/>
      </bottom>
      <diagonal/>
    </border>
    <border>
      <left/>
      <right/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/>
      <right/>
      <top style="mediumDashed">
        <color indexed="12"/>
      </top>
      <bottom/>
      <diagonal/>
    </border>
    <border>
      <left style="thick">
        <color indexed="10"/>
      </left>
      <right/>
      <top style="thick">
        <color indexed="10"/>
      </top>
      <bottom/>
      <diagonal/>
    </border>
    <border>
      <left style="mediumDashed">
        <color indexed="10"/>
      </left>
      <right/>
      <top/>
      <bottom/>
      <diagonal/>
    </border>
    <border>
      <left style="thick">
        <color indexed="10"/>
      </left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ck">
        <color indexed="12"/>
      </left>
      <right style="thick">
        <color indexed="12"/>
      </right>
      <top style="thick">
        <color indexed="12"/>
      </top>
      <bottom style="thick">
        <color indexed="12"/>
      </bottom>
      <diagonal/>
    </border>
    <border>
      <left style="mediumDashed">
        <color indexed="12"/>
      </left>
      <right style="mediumDashed">
        <color indexed="12"/>
      </right>
      <top/>
      <bottom/>
      <diagonal/>
    </border>
    <border>
      <left style="mediumDashed">
        <color indexed="12"/>
      </left>
      <right/>
      <top/>
      <bottom/>
      <diagonal/>
    </border>
    <border>
      <left style="thick">
        <color indexed="10"/>
      </left>
      <right/>
      <top style="thick">
        <color indexed="10"/>
      </top>
      <bottom style="thick">
        <color indexed="10"/>
      </bottom>
      <diagonal/>
    </border>
    <border>
      <left/>
      <right/>
      <top style="thick">
        <color indexed="10"/>
      </top>
      <bottom style="thick">
        <color indexed="10"/>
      </bottom>
      <diagonal/>
    </border>
    <border>
      <left/>
      <right style="thick">
        <color indexed="10"/>
      </right>
      <top style="thick">
        <color indexed="10"/>
      </top>
      <bottom style="thick">
        <color indexed="10"/>
      </bottom>
      <diagonal/>
    </border>
    <border>
      <left style="thick">
        <color indexed="12"/>
      </left>
      <right/>
      <top style="thick">
        <color indexed="12"/>
      </top>
      <bottom style="thick">
        <color indexed="12"/>
      </bottom>
      <diagonal/>
    </border>
    <border>
      <left/>
      <right/>
      <top style="thick">
        <color indexed="12"/>
      </top>
      <bottom style="thick">
        <color indexed="12"/>
      </bottom>
      <diagonal/>
    </border>
    <border>
      <left/>
      <right style="thick">
        <color indexed="12"/>
      </right>
      <top style="thick">
        <color indexed="12"/>
      </top>
      <bottom style="thick">
        <color indexed="12"/>
      </bottom>
      <diagonal/>
    </border>
    <border>
      <left style="thick">
        <color indexed="39"/>
      </left>
      <right/>
      <top style="thick">
        <color indexed="39"/>
      </top>
      <bottom/>
      <diagonal/>
    </border>
    <border>
      <left/>
      <right/>
      <top style="thick">
        <color indexed="39"/>
      </top>
      <bottom/>
      <diagonal/>
    </border>
    <border>
      <left/>
      <right style="thick">
        <color indexed="39"/>
      </right>
      <top style="thick">
        <color indexed="39"/>
      </top>
      <bottom/>
      <diagonal/>
    </border>
    <border>
      <left style="thick">
        <color indexed="39"/>
      </left>
      <right/>
      <top/>
      <bottom/>
      <diagonal/>
    </border>
    <border>
      <left/>
      <right style="thick">
        <color indexed="39"/>
      </right>
      <top/>
      <bottom/>
      <diagonal/>
    </border>
    <border>
      <left style="thick">
        <color indexed="39"/>
      </left>
      <right/>
      <top/>
      <bottom style="thick">
        <color indexed="39"/>
      </bottom>
      <diagonal/>
    </border>
    <border>
      <left/>
      <right/>
      <top/>
      <bottom style="thick">
        <color indexed="39"/>
      </bottom>
      <diagonal/>
    </border>
    <border>
      <left/>
      <right style="thick">
        <color indexed="39"/>
      </right>
      <top/>
      <bottom style="thick">
        <color indexed="39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Border="1"/>
    <xf numFmtId="11" fontId="0" fillId="0" borderId="0" xfId="0" applyNumberFormat="1" applyBorder="1"/>
    <xf numFmtId="10" fontId="0" fillId="0" borderId="0" xfId="0" applyNumberForma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/>
    <xf numFmtId="0" fontId="0" fillId="0" borderId="4" xfId="0" applyFill="1" applyBorder="1"/>
    <xf numFmtId="0" fontId="0" fillId="0" borderId="0" xfId="0" applyFill="1" applyBorder="1"/>
    <xf numFmtId="11" fontId="0" fillId="0" borderId="5" xfId="0" applyNumberFormat="1" applyBorder="1"/>
    <xf numFmtId="0" fontId="0" fillId="0" borderId="9" xfId="0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Border="1" applyAlignment="1">
      <alignment horizontal="left"/>
    </xf>
    <xf numFmtId="0" fontId="0" fillId="0" borderId="10" xfId="0" applyBorder="1"/>
    <xf numFmtId="0" fontId="0" fillId="0" borderId="11" xfId="0" applyBorder="1"/>
    <xf numFmtId="0" fontId="0" fillId="0" borderId="0" xfId="0" applyAlignment="1"/>
    <xf numFmtId="0" fontId="0" fillId="0" borderId="12" xfId="0" applyBorder="1" applyAlignment="1">
      <alignment horizontal="left"/>
    </xf>
    <xf numFmtId="0" fontId="1" fillId="0" borderId="0" xfId="0" applyFont="1" applyBorder="1" applyAlignment="1">
      <alignment vertical="center"/>
    </xf>
    <xf numFmtId="0" fontId="0" fillId="0" borderId="0" xfId="0" applyBorder="1" applyAlignment="1"/>
    <xf numFmtId="0" fontId="0" fillId="0" borderId="13" xfId="0" applyBorder="1" applyAlignment="1"/>
    <xf numFmtId="0" fontId="0" fillId="0" borderId="0" xfId="0" applyBorder="1" applyAlignment="1">
      <alignment horizontal="center" vertical="center"/>
    </xf>
    <xf numFmtId="0" fontId="0" fillId="0" borderId="1" xfId="0" applyBorder="1" applyAlignment="1"/>
    <xf numFmtId="0" fontId="0" fillId="0" borderId="14" xfId="0" applyBorder="1" applyAlignment="1"/>
    <xf numFmtId="0" fontId="0" fillId="0" borderId="15" xfId="0" applyBorder="1" applyAlignment="1"/>
    <xf numFmtId="0" fontId="0" fillId="0" borderId="13" xfId="0" applyBorder="1"/>
    <xf numFmtId="0" fontId="0" fillId="0" borderId="15" xfId="0" applyBorder="1"/>
    <xf numFmtId="0" fontId="4" fillId="0" borderId="0" xfId="0" applyFont="1"/>
    <xf numFmtId="0" fontId="0" fillId="2" borderId="0" xfId="0" applyFill="1"/>
    <xf numFmtId="0" fontId="0" fillId="0" borderId="0" xfId="0" applyFill="1"/>
    <xf numFmtId="0" fontId="0" fillId="0" borderId="0" xfId="0" applyAlignment="1">
      <alignment wrapText="1"/>
    </xf>
    <xf numFmtId="0" fontId="1" fillId="0" borderId="0" xfId="0" applyFont="1" applyFill="1" applyBorder="1"/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0" fillId="0" borderId="18" xfId="0" applyBorder="1" applyAlignment="1">
      <alignment horizontal="center"/>
    </xf>
    <xf numFmtId="0" fontId="0" fillId="0" borderId="17" xfId="0" applyBorder="1" applyAlignment="1"/>
    <xf numFmtId="0" fontId="0" fillId="0" borderId="19" xfId="0" applyBorder="1" applyAlignment="1"/>
    <xf numFmtId="0" fontId="0" fillId="0" borderId="20" xfId="0" applyBorder="1" applyAlignment="1"/>
    <xf numFmtId="0" fontId="0" fillId="0" borderId="21" xfId="0" applyBorder="1" applyAlignment="1"/>
    <xf numFmtId="0" fontId="0" fillId="0" borderId="19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0" xfId="0" applyAlignment="1"/>
    <xf numFmtId="0" fontId="0" fillId="0" borderId="22" xfId="0" applyBorder="1" applyAlignment="1">
      <alignment wrapText="1"/>
    </xf>
    <xf numFmtId="0" fontId="0" fillId="0" borderId="23" xfId="0" applyBorder="1" applyAlignment="1"/>
    <xf numFmtId="0" fontId="0" fillId="0" borderId="24" xfId="0" applyBorder="1" applyAlignment="1"/>
    <xf numFmtId="0" fontId="0" fillId="0" borderId="25" xfId="0" applyBorder="1" applyAlignment="1"/>
    <xf numFmtId="0" fontId="0" fillId="0" borderId="0" xfId="0" applyBorder="1" applyAlignment="1"/>
    <xf numFmtId="0" fontId="0" fillId="0" borderId="26" xfId="0" applyBorder="1" applyAlignment="1"/>
    <xf numFmtId="0" fontId="0" fillId="0" borderId="27" xfId="0" applyBorder="1" applyAlignment="1"/>
    <xf numFmtId="0" fontId="0" fillId="0" borderId="28" xfId="0" applyBorder="1" applyAlignment="1"/>
    <xf numFmtId="0" fontId="0" fillId="0" borderId="29" xfId="0" applyBorder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542925</xdr:colOff>
          <xdr:row>27</xdr:row>
          <xdr:rowOff>95250</xdr:rowOff>
        </xdr:from>
        <xdr:to>
          <xdr:col>7</xdr:col>
          <xdr:colOff>66675</xdr:colOff>
          <xdr:row>29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68B2207-925F-C0D9-6ED8-D16A5CA884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561975</xdr:colOff>
          <xdr:row>8</xdr:row>
          <xdr:rowOff>104775</xdr:rowOff>
        </xdr:from>
        <xdr:to>
          <xdr:col>10</xdr:col>
          <xdr:colOff>76200</xdr:colOff>
          <xdr:row>10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D7900BD8-BF86-FDDD-65D5-083D1A13FC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561975</xdr:colOff>
          <xdr:row>25</xdr:row>
          <xdr:rowOff>104775</xdr:rowOff>
        </xdr:from>
        <xdr:to>
          <xdr:col>10</xdr:col>
          <xdr:colOff>76200</xdr:colOff>
          <xdr:row>27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392294B-9B23-0069-E06D-7176893678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33</xdr:row>
          <xdr:rowOff>114300</xdr:rowOff>
        </xdr:from>
        <xdr:to>
          <xdr:col>10</xdr:col>
          <xdr:colOff>66675</xdr:colOff>
          <xdr:row>35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80259BE9-6E31-A51A-5439-DEFDE806F1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36</xdr:row>
          <xdr:rowOff>104775</xdr:rowOff>
        </xdr:from>
        <xdr:to>
          <xdr:col>10</xdr:col>
          <xdr:colOff>76200</xdr:colOff>
          <xdr:row>38</xdr:row>
          <xdr:rowOff>95250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8422ADF2-448E-2E96-37CD-75CAFD937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Close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542925</xdr:colOff>
          <xdr:row>5</xdr:row>
          <xdr:rowOff>95250</xdr:rowOff>
        </xdr:from>
        <xdr:to>
          <xdr:col>6</xdr:col>
          <xdr:colOff>66675</xdr:colOff>
          <xdr:row>7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92BA297A-41A6-2950-1A90-CD26C9AD8B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18</xdr:row>
          <xdr:rowOff>123825</xdr:rowOff>
        </xdr:from>
        <xdr:to>
          <xdr:col>5</xdr:col>
          <xdr:colOff>66675</xdr:colOff>
          <xdr:row>20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10DB0EF6-E520-60BF-F88C-F1A7B66AE0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561975</xdr:colOff>
          <xdr:row>5</xdr:row>
          <xdr:rowOff>95250</xdr:rowOff>
        </xdr:from>
        <xdr:to>
          <xdr:col>8</xdr:col>
          <xdr:colOff>76200</xdr:colOff>
          <xdr:row>7</xdr:row>
          <xdr:rowOff>76200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4AEC5215-9937-90F8-DD9B-E9E7619B50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9</xdr:row>
          <xdr:rowOff>95250</xdr:rowOff>
        </xdr:from>
        <xdr:to>
          <xdr:col>10</xdr:col>
          <xdr:colOff>66675</xdr:colOff>
          <xdr:row>11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A7F643EA-4FAA-C3E7-6CE6-98D0406240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14</xdr:row>
          <xdr:rowOff>114300</xdr:rowOff>
        </xdr:from>
        <xdr:to>
          <xdr:col>4</xdr:col>
          <xdr:colOff>104775</xdr:colOff>
          <xdr:row>16</xdr:row>
          <xdr:rowOff>123825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254E362E-6A2C-9E7C-98A0-9CC4110908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14</xdr:row>
          <xdr:rowOff>104775</xdr:rowOff>
        </xdr:from>
        <xdr:to>
          <xdr:col>6</xdr:col>
          <xdr:colOff>257175</xdr:colOff>
          <xdr:row>16</xdr:row>
          <xdr:rowOff>114300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B4AE8EF7-015B-CF25-2BAD-5D620621E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Results and Cases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962025</xdr:colOff>
          <xdr:row>14</xdr:row>
          <xdr:rowOff>123825</xdr:rowOff>
        </xdr:from>
        <xdr:to>
          <xdr:col>2</xdr:col>
          <xdr:colOff>66675</xdr:colOff>
          <xdr:row>16</xdr:row>
          <xdr:rowOff>133350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DB1333E-B734-7668-1B14-AEAEC21340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962025</xdr:colOff>
          <xdr:row>18</xdr:row>
          <xdr:rowOff>104775</xdr:rowOff>
        </xdr:from>
        <xdr:to>
          <xdr:col>2</xdr:col>
          <xdr:colOff>66675</xdr:colOff>
          <xdr:row>20</xdr:row>
          <xdr:rowOff>114300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710D9E52-7579-4484-3CE8-7FE770D661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Views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533400</xdr:colOff>
          <xdr:row>5</xdr:row>
          <xdr:rowOff>66675</xdr:rowOff>
        </xdr:from>
        <xdr:to>
          <xdr:col>2</xdr:col>
          <xdr:colOff>66675</xdr:colOff>
          <xdr:row>7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485A3CF5-1483-2A83-5D1E-B453B9EE35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Version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7</xdr:row>
          <xdr:rowOff>152400</xdr:rowOff>
        </xdr:from>
        <xdr:to>
          <xdr:col>7</xdr:col>
          <xdr:colOff>428625</xdr:colOff>
          <xdr:row>12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FCFBADC0-7785-98BD-AB77-CE3956C7D7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beam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13</xdr:row>
          <xdr:rowOff>95250</xdr:rowOff>
        </xdr:from>
        <xdr:to>
          <xdr:col>2</xdr:col>
          <xdr:colOff>1866900</xdr:colOff>
          <xdr:row>16</xdr:row>
          <xdr:rowOff>85725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9CBB0C6F-19A4-5D82-887B-89E69C3F79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Renumber Now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20"/>
  <sheetViews>
    <sheetView tabSelected="1" workbookViewId="0">
      <selection activeCell="B10" sqref="B10:D10"/>
    </sheetView>
  </sheetViews>
  <sheetFormatPr defaultRowHeight="12.75" x14ac:dyDescent="0.2"/>
  <cols>
    <col min="2" max="2" width="12.5703125" customWidth="1"/>
    <col min="4" max="4" width="19.85546875" bestFit="1" customWidth="1"/>
    <col min="5" max="5" width="20.5703125" customWidth="1"/>
  </cols>
  <sheetData>
    <row r="1" spans="1:14" ht="15.75" x14ac:dyDescent="0.25">
      <c r="A1" s="42" t="s">
        <v>174</v>
      </c>
      <c r="B1" s="42"/>
      <c r="C1" s="42"/>
      <c r="D1" s="42"/>
    </row>
    <row r="3" spans="1:14" x14ac:dyDescent="0.2">
      <c r="A3" s="12" t="s">
        <v>177</v>
      </c>
      <c r="B3" s="41" t="s">
        <v>178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</row>
    <row r="5" spans="1:14" x14ac:dyDescent="0.2">
      <c r="B5" s="41" t="s">
        <v>189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</row>
    <row r="6" spans="1:14" x14ac:dyDescent="0.2">
      <c r="B6" s="41" t="s">
        <v>187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</row>
    <row r="7" spans="1:14" x14ac:dyDescent="0.2">
      <c r="B7" s="41" t="s">
        <v>179</v>
      </c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</row>
    <row r="8" spans="1:14" x14ac:dyDescent="0.2">
      <c r="B8" s="41" t="s">
        <v>190</v>
      </c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</row>
    <row r="9" spans="1:14" ht="13.5" thickBot="1" x14ac:dyDescent="0.25"/>
    <row r="10" spans="1:14" ht="14.25" thickTop="1" thickBot="1" x14ac:dyDescent="0.25">
      <c r="A10" s="12" t="s">
        <v>175</v>
      </c>
      <c r="B10" s="38" t="s">
        <v>338</v>
      </c>
      <c r="C10" s="39"/>
      <c r="D10" s="40"/>
    </row>
    <row r="11" spans="1:14" ht="13.5" thickTop="1" x14ac:dyDescent="0.2"/>
    <row r="12" spans="1:14" ht="13.5" thickBot="1" x14ac:dyDescent="0.25"/>
    <row r="13" spans="1:14" ht="13.5" thickTop="1" x14ac:dyDescent="0.2">
      <c r="A13" s="12" t="s">
        <v>176</v>
      </c>
      <c r="B13" s="4" t="s">
        <v>1</v>
      </c>
      <c r="C13" s="5"/>
      <c r="D13" s="5"/>
      <c r="E13" s="5"/>
      <c r="F13" s="5">
        <v>68700</v>
      </c>
      <c r="G13" s="5">
        <v>5</v>
      </c>
      <c r="H13" s="5"/>
      <c r="I13" s="5"/>
      <c r="J13" s="5"/>
      <c r="K13" s="5"/>
      <c r="L13" s="5"/>
      <c r="M13" s="5"/>
      <c r="N13" s="6"/>
    </row>
    <row r="14" spans="1:14" x14ac:dyDescent="0.2">
      <c r="B14" s="7" t="s">
        <v>180</v>
      </c>
      <c r="J14" s="1"/>
      <c r="K14" s="1"/>
      <c r="L14" s="1"/>
      <c r="M14" s="1"/>
      <c r="N14" s="8"/>
    </row>
    <row r="15" spans="1:14" x14ac:dyDescent="0.2">
      <c r="B15" s="7" t="s">
        <v>2</v>
      </c>
      <c r="C15" s="1" t="s">
        <v>3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/>
      <c r="K15" s="1"/>
      <c r="L15" s="1"/>
      <c r="M15" s="1"/>
      <c r="N15" s="8"/>
    </row>
    <row r="16" spans="1:14" x14ac:dyDescent="0.2">
      <c r="B16" s="7" t="s">
        <v>4</v>
      </c>
      <c r="C16" s="1" t="s">
        <v>5</v>
      </c>
      <c r="D16" s="1" t="s">
        <v>6</v>
      </c>
      <c r="E16" s="1">
        <v>2.24809E-4</v>
      </c>
      <c r="F16" s="1"/>
      <c r="G16" s="1"/>
      <c r="H16" s="1"/>
      <c r="I16" s="1"/>
      <c r="J16" s="1"/>
      <c r="K16" s="1"/>
      <c r="L16" s="1"/>
      <c r="M16" s="1"/>
      <c r="N16" s="8"/>
    </row>
    <row r="17" spans="2:14" x14ac:dyDescent="0.2">
      <c r="B17" s="7" t="s">
        <v>4</v>
      </c>
      <c r="C17" s="1" t="s">
        <v>7</v>
      </c>
      <c r="D17" s="1" t="s">
        <v>8</v>
      </c>
      <c r="E17" s="1">
        <v>3.28084</v>
      </c>
      <c r="F17" s="1"/>
      <c r="G17" s="1"/>
      <c r="H17" s="1"/>
      <c r="I17" s="1"/>
      <c r="J17" s="1"/>
      <c r="K17" s="1"/>
      <c r="L17" s="1"/>
      <c r="M17" s="1"/>
      <c r="N17" s="8"/>
    </row>
    <row r="18" spans="2:14" x14ac:dyDescent="0.2">
      <c r="B18" s="7" t="s">
        <v>4</v>
      </c>
      <c r="C18" s="1" t="s">
        <v>9</v>
      </c>
      <c r="D18" s="1" t="s">
        <v>0</v>
      </c>
      <c r="E18" s="1">
        <v>39.370800000000003</v>
      </c>
      <c r="F18" s="1"/>
      <c r="G18" s="1"/>
      <c r="H18" s="1"/>
      <c r="I18" s="1"/>
      <c r="J18" s="1"/>
      <c r="K18" s="1"/>
      <c r="L18" s="1"/>
      <c r="M18" s="1"/>
      <c r="N18" s="8"/>
    </row>
    <row r="19" spans="2:14" x14ac:dyDescent="0.2">
      <c r="B19" s="7" t="s">
        <v>4</v>
      </c>
      <c r="C19" s="1" t="s">
        <v>10</v>
      </c>
      <c r="D19" s="1" t="s">
        <v>11</v>
      </c>
      <c r="E19" s="1">
        <v>6.8540100000000007E-2</v>
      </c>
      <c r="F19" s="1"/>
      <c r="G19" s="1"/>
      <c r="H19" s="1"/>
      <c r="I19" s="1"/>
      <c r="J19" s="1"/>
      <c r="K19" s="1"/>
      <c r="L19" s="1"/>
      <c r="M19" s="1"/>
      <c r="N19" s="8"/>
    </row>
    <row r="20" spans="2:14" x14ac:dyDescent="0.2">
      <c r="B20" s="7" t="s">
        <v>4</v>
      </c>
      <c r="C20" s="1" t="s">
        <v>12</v>
      </c>
      <c r="D20" s="1" t="s">
        <v>13</v>
      </c>
      <c r="E20" s="1">
        <v>1</v>
      </c>
      <c r="F20" s="1"/>
      <c r="G20" s="1"/>
      <c r="H20" s="1"/>
      <c r="I20" s="1"/>
      <c r="J20" s="1"/>
      <c r="K20" s="1"/>
      <c r="L20" s="1"/>
      <c r="M20" s="1"/>
      <c r="N20" s="8"/>
    </row>
    <row r="21" spans="2:14" x14ac:dyDescent="0.2">
      <c r="B21" s="7" t="s">
        <v>4</v>
      </c>
      <c r="C21" s="1" t="s">
        <v>14</v>
      </c>
      <c r="D21" s="1" t="s">
        <v>15</v>
      </c>
      <c r="E21" s="1">
        <v>1.8</v>
      </c>
      <c r="F21" s="1"/>
      <c r="G21" s="1"/>
      <c r="H21" s="1"/>
      <c r="I21" s="1"/>
      <c r="J21" s="1"/>
      <c r="K21" s="1"/>
      <c r="L21" s="1"/>
      <c r="M21" s="1"/>
      <c r="N21" s="8"/>
    </row>
    <row r="22" spans="2:14" x14ac:dyDescent="0.2">
      <c r="B22" s="7" t="s">
        <v>4</v>
      </c>
      <c r="C22" s="1" t="s">
        <v>16</v>
      </c>
      <c r="D22" s="1" t="s">
        <v>17</v>
      </c>
      <c r="E22" s="2">
        <v>1.45038E-7</v>
      </c>
      <c r="F22" s="1"/>
      <c r="G22" s="1"/>
      <c r="H22" s="1"/>
      <c r="I22" s="1"/>
      <c r="J22" s="1"/>
      <c r="K22" s="1"/>
      <c r="L22" s="1"/>
      <c r="M22" s="1"/>
      <c r="N22" s="8"/>
    </row>
    <row r="23" spans="2:14" x14ac:dyDescent="0.2">
      <c r="B23" s="7" t="s">
        <v>4</v>
      </c>
      <c r="C23" s="1" t="s">
        <v>18</v>
      </c>
      <c r="D23" s="1" t="s">
        <v>19</v>
      </c>
      <c r="E23" s="1">
        <v>39.370800000000003</v>
      </c>
      <c r="F23" s="1"/>
      <c r="G23" s="1"/>
      <c r="H23" s="1"/>
      <c r="I23" s="1"/>
      <c r="J23" s="1"/>
      <c r="K23" s="1"/>
      <c r="L23" s="1"/>
      <c r="M23" s="1"/>
      <c r="N23" s="8"/>
    </row>
    <row r="24" spans="2:14" x14ac:dyDescent="0.2">
      <c r="B24" s="7" t="s">
        <v>20</v>
      </c>
      <c r="C24" s="1">
        <v>1.57483</v>
      </c>
      <c r="D24" s="1">
        <v>0.62993299999999997</v>
      </c>
      <c r="E24" s="1">
        <v>0.47244900000000001</v>
      </c>
      <c r="F24" s="1">
        <v>1.57483</v>
      </c>
      <c r="G24" s="1">
        <v>0.62993299999999997</v>
      </c>
      <c r="H24" s="1">
        <v>0.47244900000000001</v>
      </c>
      <c r="I24" s="1">
        <v>0.787416</v>
      </c>
      <c r="J24" s="1">
        <v>0.393708</v>
      </c>
      <c r="K24" s="1"/>
      <c r="L24" s="1"/>
      <c r="M24" s="1"/>
      <c r="N24" s="8"/>
    </row>
    <row r="25" spans="2:14" x14ac:dyDescent="0.2">
      <c r="B25" s="7" t="s">
        <v>21</v>
      </c>
      <c r="C25" s="1">
        <v>1.7455100000000001E-2</v>
      </c>
      <c r="D25" s="1">
        <v>0.393708</v>
      </c>
      <c r="E25" s="1">
        <v>0.393708</v>
      </c>
      <c r="F25" s="1">
        <v>5</v>
      </c>
      <c r="G25" s="1">
        <v>3.9370799999999997E-2</v>
      </c>
      <c r="H25" s="1"/>
      <c r="I25" s="1"/>
      <c r="J25" s="1"/>
      <c r="K25" s="1"/>
      <c r="L25" s="1"/>
      <c r="M25" s="1"/>
      <c r="N25" s="8"/>
    </row>
    <row r="26" spans="2:14" x14ac:dyDescent="0.2">
      <c r="B26" s="7" t="s">
        <v>22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8"/>
    </row>
    <row r="27" spans="2:14" x14ac:dyDescent="0.2">
      <c r="B27" s="7" t="s">
        <v>23</v>
      </c>
      <c r="C27" s="1" t="s">
        <v>24</v>
      </c>
      <c r="D27" s="1" t="s">
        <v>25</v>
      </c>
      <c r="E27" s="1" t="s">
        <v>26</v>
      </c>
      <c r="F27" s="1" t="s">
        <v>27</v>
      </c>
      <c r="G27" s="1">
        <v>45</v>
      </c>
      <c r="H27" s="1">
        <v>25</v>
      </c>
      <c r="I27" s="1" t="s">
        <v>28</v>
      </c>
      <c r="J27" s="1">
        <v>1</v>
      </c>
      <c r="K27" s="1">
        <v>100</v>
      </c>
      <c r="L27" s="1"/>
      <c r="M27" s="1"/>
      <c r="N27" s="8"/>
    </row>
    <row r="28" spans="2:14" x14ac:dyDescent="0.2">
      <c r="B28" s="7" t="s">
        <v>29</v>
      </c>
      <c r="C28" s="1">
        <v>1</v>
      </c>
      <c r="D28" s="1" t="s">
        <v>30</v>
      </c>
      <c r="E28" s="1" t="s">
        <v>31</v>
      </c>
      <c r="F28" s="1" t="s">
        <v>32</v>
      </c>
      <c r="G28" s="1"/>
      <c r="H28" s="1"/>
      <c r="I28" s="1"/>
      <c r="J28" s="1"/>
      <c r="K28" s="1"/>
      <c r="L28" s="1"/>
      <c r="M28" s="1"/>
      <c r="N28" s="8"/>
    </row>
    <row r="29" spans="2:14" x14ac:dyDescent="0.2">
      <c r="B29" s="7" t="s">
        <v>29</v>
      </c>
      <c r="C29" s="1">
        <v>2</v>
      </c>
      <c r="D29" s="1" t="s">
        <v>33</v>
      </c>
      <c r="E29" s="1" t="s">
        <v>34</v>
      </c>
      <c r="F29" s="1" t="s">
        <v>35</v>
      </c>
      <c r="G29" s="1"/>
      <c r="H29" s="1"/>
      <c r="I29" s="1"/>
      <c r="J29" s="1"/>
      <c r="K29" s="1"/>
      <c r="L29" s="1"/>
      <c r="M29" s="1"/>
      <c r="N29" s="8"/>
    </row>
    <row r="30" spans="2:14" x14ac:dyDescent="0.2">
      <c r="B30" s="7" t="s">
        <v>29</v>
      </c>
      <c r="C30" s="1">
        <v>3</v>
      </c>
      <c r="D30" s="1" t="s">
        <v>36</v>
      </c>
      <c r="E30" s="1" t="s">
        <v>37</v>
      </c>
      <c r="F30" s="1" t="s">
        <v>38</v>
      </c>
      <c r="G30" s="1"/>
      <c r="H30" s="1"/>
      <c r="I30" s="1"/>
      <c r="J30" s="1"/>
      <c r="K30" s="1"/>
      <c r="L30" s="1"/>
      <c r="M30" s="1"/>
      <c r="N30" s="8"/>
    </row>
    <row r="31" spans="2:14" x14ac:dyDescent="0.2">
      <c r="B31" s="7" t="s">
        <v>39</v>
      </c>
      <c r="C31" s="1" t="s">
        <v>40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8"/>
    </row>
    <row r="32" spans="2:14" x14ac:dyDescent="0.2">
      <c r="B32" s="7" t="s">
        <v>181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8"/>
    </row>
    <row r="33" spans="2:14" x14ac:dyDescent="0.2">
      <c r="B33" s="7" t="s">
        <v>41</v>
      </c>
      <c r="C33" s="1">
        <v>1</v>
      </c>
      <c r="D33" s="1" t="s">
        <v>42</v>
      </c>
      <c r="E33" s="1" t="s">
        <v>43</v>
      </c>
      <c r="F33" s="1">
        <v>0</v>
      </c>
      <c r="G33" s="1">
        <v>0</v>
      </c>
      <c r="H33" s="1">
        <v>0</v>
      </c>
      <c r="I33" s="1">
        <v>1.2</v>
      </c>
      <c r="J33" s="1">
        <v>2.4</v>
      </c>
      <c r="K33" s="1">
        <v>3.6</v>
      </c>
      <c r="L33" s="1">
        <v>0</v>
      </c>
      <c r="M33" s="1">
        <v>1</v>
      </c>
      <c r="N33" s="8">
        <v>0</v>
      </c>
    </row>
    <row r="34" spans="2:14" x14ac:dyDescent="0.2">
      <c r="B34" s="7" t="s">
        <v>31</v>
      </c>
      <c r="C34" s="1">
        <v>1</v>
      </c>
      <c r="D34" s="1">
        <v>0</v>
      </c>
      <c r="E34" s="1">
        <v>0</v>
      </c>
      <c r="F34" s="1">
        <v>0</v>
      </c>
      <c r="G34" s="1">
        <v>0</v>
      </c>
      <c r="H34" s="1"/>
      <c r="I34" s="1"/>
      <c r="J34" s="1"/>
      <c r="K34" s="1"/>
      <c r="L34" s="1"/>
      <c r="M34" s="1"/>
      <c r="N34" s="8"/>
    </row>
    <row r="35" spans="2:14" x14ac:dyDescent="0.2">
      <c r="B35" s="7" t="s">
        <v>31</v>
      </c>
      <c r="C35" s="1">
        <v>2</v>
      </c>
      <c r="D35" s="1" t="s">
        <v>56</v>
      </c>
      <c r="E35" s="1"/>
      <c r="F35" s="1"/>
      <c r="G35" s="1">
        <v>32.808399999999999</v>
      </c>
      <c r="H35" s="1">
        <v>0</v>
      </c>
      <c r="I35" s="1">
        <v>0</v>
      </c>
      <c r="J35" s="1">
        <v>0</v>
      </c>
      <c r="K35" s="1"/>
      <c r="L35" s="1"/>
      <c r="M35" s="1"/>
      <c r="N35" s="8"/>
    </row>
    <row r="36" spans="2:14" x14ac:dyDescent="0.2">
      <c r="B36" s="7" t="s">
        <v>31</v>
      </c>
      <c r="C36" s="1">
        <v>3</v>
      </c>
      <c r="D36" s="1">
        <v>65.616799999999998</v>
      </c>
      <c r="E36" s="1">
        <v>0</v>
      </c>
      <c r="F36" s="1">
        <v>0</v>
      </c>
      <c r="G36" s="1">
        <v>0</v>
      </c>
      <c r="H36" s="1"/>
      <c r="I36" s="1"/>
      <c r="J36" s="1"/>
      <c r="K36" s="1"/>
      <c r="L36" s="1"/>
      <c r="M36" s="1"/>
      <c r="N36" s="8"/>
    </row>
    <row r="37" spans="2:14" x14ac:dyDescent="0.2">
      <c r="B37" s="7" t="s">
        <v>31</v>
      </c>
      <c r="C37" s="1">
        <v>4</v>
      </c>
      <c r="D37" s="1">
        <v>0</v>
      </c>
      <c r="E37" s="1">
        <v>0</v>
      </c>
      <c r="F37" s="1">
        <v>16.404199999999999</v>
      </c>
      <c r="G37" s="1">
        <v>0</v>
      </c>
      <c r="H37" s="1"/>
      <c r="I37" s="1"/>
      <c r="J37" s="1"/>
      <c r="K37" s="1"/>
      <c r="L37" s="1"/>
      <c r="M37" s="1"/>
      <c r="N37" s="8"/>
    </row>
    <row r="38" spans="2:14" x14ac:dyDescent="0.2">
      <c r="B38" s="7" t="s">
        <v>31</v>
      </c>
      <c r="C38" s="1">
        <v>5</v>
      </c>
      <c r="D38" s="1">
        <v>32.808399999999999</v>
      </c>
      <c r="E38" s="1">
        <v>0</v>
      </c>
      <c r="F38" s="1">
        <v>16.404199999999999</v>
      </c>
      <c r="G38" s="1">
        <v>0</v>
      </c>
      <c r="H38" s="1"/>
      <c r="I38" s="1"/>
      <c r="J38" s="1"/>
      <c r="K38" s="1"/>
      <c r="L38" s="1"/>
      <c r="M38" s="1"/>
      <c r="N38" s="8"/>
    </row>
    <row r="39" spans="2:14" x14ac:dyDescent="0.2">
      <c r="B39" s="7" t="s">
        <v>31</v>
      </c>
      <c r="C39" s="1">
        <v>6</v>
      </c>
      <c r="D39" s="1">
        <v>65.616799999999998</v>
      </c>
      <c r="E39" s="1">
        <v>0</v>
      </c>
      <c r="F39" s="1">
        <v>16.404199999999999</v>
      </c>
      <c r="G39" s="1">
        <v>0</v>
      </c>
      <c r="H39" s="1"/>
      <c r="I39" s="1"/>
      <c r="J39" s="1"/>
      <c r="K39" s="1"/>
      <c r="L39" s="1"/>
      <c r="M39" s="1"/>
      <c r="N39" s="8"/>
    </row>
    <row r="40" spans="2:14" x14ac:dyDescent="0.2">
      <c r="B40" s="7" t="s">
        <v>44</v>
      </c>
      <c r="C40" s="1">
        <v>1</v>
      </c>
      <c r="D40" s="1">
        <v>0</v>
      </c>
      <c r="E40" s="1">
        <v>1</v>
      </c>
      <c r="F40" s="1">
        <v>1</v>
      </c>
      <c r="G40" s="1">
        <v>1</v>
      </c>
      <c r="H40" s="1">
        <v>1</v>
      </c>
      <c r="I40" s="1">
        <v>1</v>
      </c>
      <c r="J40" s="1">
        <v>1</v>
      </c>
      <c r="K40" s="1"/>
      <c r="L40" s="1"/>
      <c r="M40" s="1"/>
      <c r="N40" s="8"/>
    </row>
    <row r="41" spans="2:14" x14ac:dyDescent="0.2">
      <c r="B41" s="7" t="s">
        <v>44</v>
      </c>
      <c r="C41" s="1">
        <v>2</v>
      </c>
      <c r="D41" s="1">
        <v>0</v>
      </c>
      <c r="E41" s="1">
        <v>1</v>
      </c>
      <c r="F41" s="1">
        <v>1</v>
      </c>
      <c r="G41" s="1">
        <v>1</v>
      </c>
      <c r="H41" s="1">
        <v>1</v>
      </c>
      <c r="I41" s="1">
        <v>1</v>
      </c>
      <c r="J41" s="1">
        <v>1</v>
      </c>
      <c r="K41" s="1"/>
      <c r="L41" s="1"/>
      <c r="M41" s="1"/>
      <c r="N41" s="8"/>
    </row>
    <row r="42" spans="2:14" x14ac:dyDescent="0.2">
      <c r="B42" s="7" t="s">
        <v>44</v>
      </c>
      <c r="C42" s="1">
        <v>3</v>
      </c>
      <c r="D42" s="1">
        <v>0</v>
      </c>
      <c r="E42" s="1">
        <v>1</v>
      </c>
      <c r="F42" s="1">
        <v>1</v>
      </c>
      <c r="G42" s="1">
        <v>1</v>
      </c>
      <c r="H42" s="1">
        <v>1</v>
      </c>
      <c r="I42" s="1">
        <v>1</v>
      </c>
      <c r="J42" s="1">
        <v>1</v>
      </c>
      <c r="K42" s="1"/>
      <c r="L42" s="1"/>
      <c r="M42" s="1"/>
      <c r="N42" s="8"/>
    </row>
    <row r="43" spans="2:14" x14ac:dyDescent="0.2">
      <c r="B43" s="7" t="s">
        <v>45</v>
      </c>
      <c r="C43" s="1">
        <v>4</v>
      </c>
      <c r="D43" s="1">
        <v>0</v>
      </c>
      <c r="E43" s="1">
        <v>0</v>
      </c>
      <c r="F43" s="1">
        <v>68.521799999999999</v>
      </c>
      <c r="G43" s="1">
        <v>0</v>
      </c>
      <c r="H43" s="1">
        <v>0</v>
      </c>
      <c r="I43" s="1">
        <v>0</v>
      </c>
      <c r="J43" s="1">
        <v>0</v>
      </c>
      <c r="K43" s="1"/>
      <c r="L43" s="1"/>
      <c r="M43" s="1"/>
      <c r="N43" s="8"/>
    </row>
    <row r="44" spans="2:14" x14ac:dyDescent="0.2">
      <c r="B44" s="7" t="s">
        <v>46</v>
      </c>
      <c r="C44" s="1">
        <v>1</v>
      </c>
      <c r="D44" s="1">
        <v>1</v>
      </c>
      <c r="E44" s="1">
        <v>1</v>
      </c>
      <c r="F44" s="1">
        <v>1</v>
      </c>
      <c r="G44" s="1">
        <v>4</v>
      </c>
      <c r="H44" s="1">
        <v>0</v>
      </c>
      <c r="I44" s="1">
        <v>0</v>
      </c>
      <c r="J44" s="1"/>
      <c r="K44" s="1"/>
      <c r="L44" s="1"/>
      <c r="M44" s="1"/>
      <c r="N44" s="8"/>
    </row>
    <row r="45" spans="2:14" x14ac:dyDescent="0.2">
      <c r="B45" s="7" t="s">
        <v>46</v>
      </c>
      <c r="C45" s="1">
        <v>2</v>
      </c>
      <c r="D45" s="1">
        <v>2</v>
      </c>
      <c r="E45" s="1">
        <v>2</v>
      </c>
      <c r="F45" s="1">
        <v>4</v>
      </c>
      <c r="G45" s="1">
        <v>5</v>
      </c>
      <c r="H45" s="1">
        <v>0</v>
      </c>
      <c r="I45" s="1">
        <v>0</v>
      </c>
      <c r="J45" s="1"/>
      <c r="K45" s="1"/>
      <c r="L45" s="1"/>
      <c r="M45" s="1"/>
      <c r="N45" s="8"/>
    </row>
    <row r="46" spans="2:14" x14ac:dyDescent="0.2">
      <c r="B46" s="7" t="s">
        <v>46</v>
      </c>
      <c r="C46" s="1">
        <v>3</v>
      </c>
      <c r="D46" s="1">
        <v>1</v>
      </c>
      <c r="E46" s="1">
        <v>1</v>
      </c>
      <c r="F46" s="1">
        <v>2</v>
      </c>
      <c r="G46" s="1">
        <v>5</v>
      </c>
      <c r="H46" s="1">
        <v>0</v>
      </c>
      <c r="I46" s="1">
        <v>0</v>
      </c>
      <c r="J46" s="1"/>
      <c r="K46" s="1"/>
      <c r="L46" s="1"/>
      <c r="M46" s="1"/>
      <c r="N46" s="8"/>
    </row>
    <row r="47" spans="2:14" x14ac:dyDescent="0.2">
      <c r="B47" s="7" t="s">
        <v>46</v>
      </c>
      <c r="C47" s="1">
        <v>4</v>
      </c>
      <c r="D47" s="1">
        <v>2</v>
      </c>
      <c r="E47" s="1">
        <v>2</v>
      </c>
      <c r="F47" s="1">
        <v>5</v>
      </c>
      <c r="G47" s="1">
        <v>6</v>
      </c>
      <c r="H47" s="1">
        <v>0</v>
      </c>
      <c r="I47" s="1">
        <v>0</v>
      </c>
      <c r="J47" s="1"/>
      <c r="K47" s="1"/>
      <c r="L47" s="1"/>
      <c r="M47" s="1"/>
      <c r="N47" s="8"/>
    </row>
    <row r="48" spans="2:14" x14ac:dyDescent="0.2">
      <c r="B48" s="7" t="s">
        <v>46</v>
      </c>
      <c r="C48" s="1">
        <v>5</v>
      </c>
      <c r="D48" s="1">
        <v>1</v>
      </c>
      <c r="E48" s="1">
        <v>1</v>
      </c>
      <c r="F48" s="1">
        <v>3</v>
      </c>
      <c r="G48" s="1">
        <v>6</v>
      </c>
      <c r="H48" s="1">
        <v>0</v>
      </c>
      <c r="I48" s="1">
        <v>0</v>
      </c>
      <c r="J48" s="1"/>
      <c r="K48" s="1"/>
      <c r="L48" s="1"/>
      <c r="M48" s="1"/>
      <c r="N48" s="8"/>
    </row>
    <row r="49" spans="2:14" x14ac:dyDescent="0.2">
      <c r="B49" s="7" t="s">
        <v>47</v>
      </c>
      <c r="C49" s="1">
        <v>1</v>
      </c>
      <c r="D49" s="1" t="s">
        <v>48</v>
      </c>
      <c r="E49" s="1">
        <v>0</v>
      </c>
      <c r="F49" s="1" t="s">
        <v>49</v>
      </c>
      <c r="G49" s="1">
        <v>16.404199999999999</v>
      </c>
      <c r="H49" s="1" t="s">
        <v>50</v>
      </c>
      <c r="I49" s="1" t="s">
        <v>51</v>
      </c>
      <c r="J49" s="1">
        <v>0</v>
      </c>
      <c r="K49" s="1">
        <v>-10</v>
      </c>
      <c r="L49" s="1">
        <v>0.49213499999999999</v>
      </c>
      <c r="M49" s="1"/>
      <c r="N49" s="8"/>
    </row>
    <row r="50" spans="2:14" x14ac:dyDescent="0.2">
      <c r="B50" s="7" t="s">
        <v>52</v>
      </c>
      <c r="C50" s="1">
        <v>1</v>
      </c>
      <c r="D50" s="1" t="s">
        <v>53</v>
      </c>
      <c r="E50" s="1">
        <v>16.404199999999999</v>
      </c>
      <c r="F50" s="1">
        <v>3.28084</v>
      </c>
      <c r="G50" s="1">
        <v>3.28084</v>
      </c>
      <c r="H50" s="1"/>
      <c r="I50" s="1"/>
      <c r="J50" s="1"/>
      <c r="K50" s="1"/>
      <c r="L50" s="1"/>
      <c r="M50" s="1"/>
      <c r="N50" s="8"/>
    </row>
    <row r="51" spans="2:14" x14ac:dyDescent="0.2">
      <c r="B51" s="7" t="s">
        <v>54</v>
      </c>
      <c r="C51" s="1">
        <v>1</v>
      </c>
      <c r="D51" s="1" t="s">
        <v>55</v>
      </c>
      <c r="E51" s="1">
        <v>4</v>
      </c>
      <c r="F51" s="1">
        <v>0</v>
      </c>
      <c r="G51" s="1">
        <v>0</v>
      </c>
      <c r="H51" s="1">
        <v>6.56168</v>
      </c>
      <c r="I51" s="1">
        <v>0</v>
      </c>
      <c r="J51" s="1">
        <v>6.56168</v>
      </c>
      <c r="K51" s="1">
        <v>3.28084</v>
      </c>
      <c r="L51" s="1">
        <v>0</v>
      </c>
      <c r="M51" s="1">
        <v>3.28084</v>
      </c>
      <c r="N51" s="8"/>
    </row>
    <row r="52" spans="2:14" x14ac:dyDescent="0.2">
      <c r="B52" s="7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8"/>
    </row>
    <row r="53" spans="2:14" x14ac:dyDescent="0.2">
      <c r="B53" s="7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8"/>
    </row>
    <row r="54" spans="2:14" x14ac:dyDescent="0.2">
      <c r="B54" s="7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8"/>
    </row>
    <row r="55" spans="2:14" x14ac:dyDescent="0.2">
      <c r="B55" s="7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8"/>
    </row>
    <row r="56" spans="2:14" x14ac:dyDescent="0.2">
      <c r="B56" s="7" t="s">
        <v>57</v>
      </c>
      <c r="C56" s="1">
        <v>1</v>
      </c>
      <c r="D56" s="1" t="s">
        <v>58</v>
      </c>
      <c r="E56" s="1" t="s">
        <v>59</v>
      </c>
      <c r="F56" s="1" t="s">
        <v>60</v>
      </c>
      <c r="G56" s="1" t="s">
        <v>61</v>
      </c>
      <c r="H56" s="1">
        <v>0</v>
      </c>
      <c r="I56" s="1"/>
      <c r="J56" s="1"/>
      <c r="K56" s="1"/>
      <c r="L56" s="1"/>
      <c r="M56" s="1"/>
      <c r="N56" s="8"/>
    </row>
    <row r="57" spans="2:14" x14ac:dyDescent="0.2">
      <c r="B57" s="7" t="s">
        <v>57</v>
      </c>
      <c r="C57" s="1">
        <v>2</v>
      </c>
      <c r="D57" s="1" t="s">
        <v>62</v>
      </c>
      <c r="E57" s="1" t="s">
        <v>63</v>
      </c>
      <c r="F57" s="1" t="s">
        <v>64</v>
      </c>
      <c r="G57" s="1" t="s">
        <v>61</v>
      </c>
      <c r="H57" s="1">
        <v>0</v>
      </c>
      <c r="I57" s="1"/>
      <c r="J57" s="1"/>
      <c r="K57" s="1"/>
      <c r="L57" s="1"/>
      <c r="M57" s="1"/>
      <c r="N57" s="8"/>
    </row>
    <row r="58" spans="2:14" x14ac:dyDescent="0.2">
      <c r="B58" s="7" t="s">
        <v>65</v>
      </c>
      <c r="C58" s="1">
        <v>1</v>
      </c>
      <c r="D58" s="1" t="s">
        <v>66</v>
      </c>
      <c r="E58" s="1" t="s">
        <v>67</v>
      </c>
      <c r="F58" s="1" t="s">
        <v>68</v>
      </c>
      <c r="G58" s="1" t="s">
        <v>69</v>
      </c>
      <c r="H58" s="1" t="s">
        <v>70</v>
      </c>
      <c r="I58" s="1">
        <v>3280.84</v>
      </c>
      <c r="J58" s="1">
        <v>6561.68</v>
      </c>
      <c r="K58" s="1">
        <v>9842.52</v>
      </c>
      <c r="L58" s="1"/>
      <c r="M58" s="1"/>
      <c r="N58" s="8"/>
    </row>
    <row r="59" spans="2:14" x14ac:dyDescent="0.2">
      <c r="B59" s="7" t="s">
        <v>71</v>
      </c>
      <c r="C59" s="1">
        <v>1</v>
      </c>
      <c r="D59" s="1" t="s">
        <v>72</v>
      </c>
      <c r="E59" s="1" t="s">
        <v>73</v>
      </c>
      <c r="F59" s="1">
        <v>17.135000000000002</v>
      </c>
      <c r="G59" s="1">
        <v>737.75900000000001</v>
      </c>
      <c r="H59" s="1">
        <v>737.75900000000001</v>
      </c>
      <c r="I59" s="1">
        <v>737.75900000000001</v>
      </c>
      <c r="J59" s="1">
        <v>147.55199999999999</v>
      </c>
      <c r="K59" s="1">
        <v>147.55199999999999</v>
      </c>
      <c r="L59" s="1">
        <v>147.55199999999999</v>
      </c>
      <c r="M59" s="1"/>
      <c r="N59" s="8"/>
    </row>
    <row r="60" spans="2:14" x14ac:dyDescent="0.2">
      <c r="B60" s="7" t="s">
        <v>74</v>
      </c>
      <c r="C60" s="1">
        <v>1</v>
      </c>
      <c r="D60" s="1" t="s">
        <v>75</v>
      </c>
      <c r="E60" s="1" t="s">
        <v>67</v>
      </c>
      <c r="F60" s="1">
        <v>1</v>
      </c>
      <c r="G60" s="1" t="s">
        <v>76</v>
      </c>
      <c r="H60" s="1">
        <v>8.2020999999999997E-2</v>
      </c>
      <c r="I60" s="1">
        <v>1.91028</v>
      </c>
      <c r="J60" s="3">
        <v>0.9</v>
      </c>
      <c r="K60" s="1"/>
      <c r="L60" s="1"/>
      <c r="M60" s="1"/>
      <c r="N60" s="8"/>
    </row>
    <row r="61" spans="2:14" x14ac:dyDescent="0.2">
      <c r="B61" s="7" t="s">
        <v>77</v>
      </c>
      <c r="C61" s="1">
        <v>1</v>
      </c>
      <c r="D61" s="1" t="s">
        <v>78</v>
      </c>
      <c r="E61" s="1">
        <v>0.22480900000000001</v>
      </c>
      <c r="F61" s="1">
        <v>0.52227599999999996</v>
      </c>
      <c r="G61" s="2">
        <v>5.5555600000000001E-5</v>
      </c>
      <c r="H61" s="1"/>
      <c r="I61" s="1"/>
      <c r="J61" s="1"/>
      <c r="K61" s="1"/>
      <c r="L61" s="1"/>
      <c r="M61" s="1"/>
      <c r="N61" s="8"/>
    </row>
    <row r="62" spans="2:14" x14ac:dyDescent="0.2">
      <c r="B62" s="7" t="s">
        <v>79</v>
      </c>
      <c r="C62" s="1">
        <v>1</v>
      </c>
      <c r="D62" s="1" t="s">
        <v>80</v>
      </c>
      <c r="E62" s="1">
        <v>0</v>
      </c>
      <c r="F62" s="1" t="s">
        <v>81</v>
      </c>
      <c r="G62" s="1" t="s">
        <v>82</v>
      </c>
      <c r="H62" s="1">
        <v>0.22480900000000001</v>
      </c>
      <c r="I62" s="1">
        <v>1</v>
      </c>
      <c r="J62" s="1"/>
      <c r="K62" s="1"/>
      <c r="L62" s="1"/>
      <c r="M62" s="1"/>
      <c r="N62" s="8"/>
    </row>
    <row r="63" spans="2:14" x14ac:dyDescent="0.2">
      <c r="B63" s="7" t="s">
        <v>83</v>
      </c>
      <c r="C63" s="1">
        <v>1</v>
      </c>
      <c r="D63" s="1" t="s">
        <v>84</v>
      </c>
      <c r="E63" s="1" t="s">
        <v>67</v>
      </c>
      <c r="F63" s="1">
        <v>0.44961800000000002</v>
      </c>
      <c r="G63" s="1"/>
      <c r="H63" s="1"/>
      <c r="I63" s="1"/>
      <c r="J63" s="1"/>
      <c r="K63" s="1"/>
      <c r="L63" s="1"/>
      <c r="M63" s="1"/>
      <c r="N63" s="8"/>
    </row>
    <row r="64" spans="2:14" x14ac:dyDescent="0.2">
      <c r="B64" s="7" t="s">
        <v>85</v>
      </c>
      <c r="C64" s="1">
        <v>1</v>
      </c>
      <c r="D64" s="1" t="s">
        <v>86</v>
      </c>
      <c r="E64" s="1">
        <v>0.27408700000000003</v>
      </c>
      <c r="F64" s="1"/>
      <c r="G64" s="1"/>
      <c r="H64" s="1"/>
      <c r="I64" s="1"/>
      <c r="J64" s="1"/>
      <c r="K64" s="1"/>
      <c r="L64" s="1"/>
      <c r="M64" s="1"/>
      <c r="N64" s="8"/>
    </row>
    <row r="65" spans="2:15" x14ac:dyDescent="0.2">
      <c r="B65" s="7" t="s">
        <v>87</v>
      </c>
      <c r="C65" s="1">
        <v>1</v>
      </c>
      <c r="D65" s="1" t="s">
        <v>88</v>
      </c>
      <c r="E65" s="1">
        <v>6.8521799999999994E-2</v>
      </c>
      <c r="F65" s="1"/>
      <c r="G65" s="1"/>
      <c r="H65" s="1"/>
      <c r="I65" s="1"/>
      <c r="J65" s="1"/>
      <c r="K65" s="1"/>
      <c r="L65" s="1"/>
      <c r="M65" s="1"/>
      <c r="N65" s="8"/>
    </row>
    <row r="66" spans="2:15" x14ac:dyDescent="0.2">
      <c r="B66" s="7" t="s">
        <v>89</v>
      </c>
      <c r="C66" s="1">
        <v>1</v>
      </c>
      <c r="D66" s="1" t="s">
        <v>90</v>
      </c>
      <c r="E66" s="1">
        <v>1.9097699999999999E-2</v>
      </c>
      <c r="F66" s="1"/>
      <c r="G66" s="1"/>
      <c r="H66" s="1"/>
      <c r="I66" s="1"/>
      <c r="J66" s="1"/>
      <c r="K66" s="1"/>
      <c r="L66" s="1"/>
      <c r="M66" s="1"/>
      <c r="N66" s="8"/>
    </row>
    <row r="67" spans="2:15" x14ac:dyDescent="0.2">
      <c r="B67" s="7" t="s">
        <v>91</v>
      </c>
      <c r="C67" s="1">
        <v>1</v>
      </c>
      <c r="D67" s="1" t="s">
        <v>92</v>
      </c>
      <c r="E67" s="1" t="s">
        <v>93</v>
      </c>
      <c r="F67" s="1">
        <v>1</v>
      </c>
      <c r="G67" s="1">
        <v>1.2</v>
      </c>
      <c r="H67" s="1" t="s">
        <v>94</v>
      </c>
      <c r="I67" s="1">
        <v>7.8740100000000002</v>
      </c>
      <c r="J67" s="1">
        <v>11.811</v>
      </c>
      <c r="K67" s="1">
        <v>15.747999999999999</v>
      </c>
      <c r="L67" s="1"/>
      <c r="M67" s="1"/>
      <c r="N67" s="8"/>
    </row>
    <row r="68" spans="2:15" x14ac:dyDescent="0.2">
      <c r="B68" s="7" t="s">
        <v>95</v>
      </c>
      <c r="C68" s="1">
        <v>1</v>
      </c>
      <c r="D68" s="1" t="s">
        <v>96</v>
      </c>
      <c r="E68" s="1">
        <v>1</v>
      </c>
      <c r="F68" s="1" t="s">
        <v>97</v>
      </c>
      <c r="G68" s="1">
        <v>1</v>
      </c>
      <c r="H68" s="1">
        <v>0</v>
      </c>
      <c r="I68" s="1" t="s">
        <v>98</v>
      </c>
      <c r="J68" s="1"/>
      <c r="K68" s="1"/>
      <c r="L68" s="1"/>
      <c r="M68" s="1"/>
      <c r="N68" s="8"/>
    </row>
    <row r="69" spans="2:15" x14ac:dyDescent="0.2">
      <c r="B69" s="7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8"/>
    </row>
    <row r="70" spans="2:15" x14ac:dyDescent="0.2">
      <c r="B70" s="7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8"/>
    </row>
    <row r="71" spans="2:15" x14ac:dyDescent="0.2">
      <c r="B71" s="7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8"/>
    </row>
    <row r="72" spans="2:15" x14ac:dyDescent="0.2">
      <c r="B72" s="7" t="s">
        <v>99</v>
      </c>
      <c r="C72" s="1">
        <v>1</v>
      </c>
      <c r="D72" s="1" t="s">
        <v>100</v>
      </c>
      <c r="E72" s="1" t="s">
        <v>101</v>
      </c>
      <c r="F72" s="1">
        <v>29007.5</v>
      </c>
      <c r="G72" s="1">
        <v>0.28999999999999998</v>
      </c>
      <c r="H72" s="1">
        <v>11243.2</v>
      </c>
      <c r="I72" s="1">
        <v>15.1386</v>
      </c>
      <c r="J72" s="2">
        <v>6.6666699999999996E-6</v>
      </c>
      <c r="K72" s="1">
        <v>43.511299999999999</v>
      </c>
      <c r="L72" s="1">
        <v>65.266999999999996</v>
      </c>
      <c r="M72" s="2">
        <v>1.45038E-5</v>
      </c>
      <c r="N72" s="8">
        <v>0.5</v>
      </c>
    </row>
    <row r="73" spans="2:15" x14ac:dyDescent="0.2">
      <c r="B73" s="7" t="s">
        <v>102</v>
      </c>
      <c r="C73" s="1">
        <v>1</v>
      </c>
      <c r="D73" s="1" t="s">
        <v>103</v>
      </c>
      <c r="E73" s="1">
        <v>0.68521799999999999</v>
      </c>
      <c r="F73" s="1">
        <v>1.3704400000000001</v>
      </c>
      <c r="G73" s="1">
        <v>0.3</v>
      </c>
      <c r="H73" s="1">
        <v>0.342609</v>
      </c>
      <c r="I73" s="1"/>
      <c r="J73" s="1"/>
      <c r="K73" s="1"/>
      <c r="L73" s="1"/>
      <c r="M73" s="1"/>
      <c r="N73" s="8"/>
    </row>
    <row r="74" spans="2:15" x14ac:dyDescent="0.2">
      <c r="B74" s="7" t="s">
        <v>104</v>
      </c>
      <c r="C74" s="1">
        <v>1</v>
      </c>
      <c r="D74" s="1" t="s">
        <v>105</v>
      </c>
      <c r="E74" s="1" t="s">
        <v>106</v>
      </c>
      <c r="F74" s="1" t="s">
        <v>107</v>
      </c>
      <c r="G74" s="1">
        <v>1</v>
      </c>
      <c r="H74" s="1">
        <v>1</v>
      </c>
      <c r="I74" s="1">
        <v>1</v>
      </c>
      <c r="J74" s="1">
        <v>1</v>
      </c>
      <c r="K74" s="1" t="s">
        <v>108</v>
      </c>
      <c r="L74" s="1" t="s">
        <v>109</v>
      </c>
      <c r="M74" s="1" t="s">
        <v>109</v>
      </c>
      <c r="N74" s="8"/>
    </row>
    <row r="75" spans="2:15" x14ac:dyDescent="0.2">
      <c r="B75" s="7" t="s">
        <v>110</v>
      </c>
      <c r="C75" s="1">
        <v>1</v>
      </c>
      <c r="D75" s="1" t="s">
        <v>111</v>
      </c>
      <c r="E75" s="1" t="s">
        <v>112</v>
      </c>
      <c r="F75" s="1">
        <v>1</v>
      </c>
      <c r="G75" s="1" t="s">
        <v>50</v>
      </c>
      <c r="H75" s="1" t="s">
        <v>113</v>
      </c>
      <c r="I75" s="1"/>
      <c r="J75" s="1"/>
      <c r="K75" s="1"/>
      <c r="L75" s="1"/>
      <c r="M75" s="1"/>
      <c r="N75" s="8"/>
    </row>
    <row r="76" spans="2:15" x14ac:dyDescent="0.2">
      <c r="B76" s="7" t="s">
        <v>114</v>
      </c>
      <c r="C76" s="1">
        <v>1</v>
      </c>
      <c r="D76" s="1" t="s">
        <v>115</v>
      </c>
      <c r="E76" s="1" t="s">
        <v>116</v>
      </c>
      <c r="F76" s="1" t="s">
        <v>117</v>
      </c>
      <c r="G76" s="1"/>
      <c r="H76" s="1"/>
      <c r="I76" s="1"/>
      <c r="J76" s="1"/>
      <c r="K76" s="1"/>
      <c r="L76" s="1"/>
      <c r="M76" s="1"/>
      <c r="N76" s="8"/>
    </row>
    <row r="77" spans="2:15" x14ac:dyDescent="0.2">
      <c r="B77" s="7" t="s">
        <v>118</v>
      </c>
      <c r="C77" s="1" t="s">
        <v>119</v>
      </c>
      <c r="D77" s="1">
        <v>1</v>
      </c>
      <c r="E77" s="1" t="s">
        <v>120</v>
      </c>
      <c r="F77" s="1">
        <v>3.9370799999999999E-4</v>
      </c>
      <c r="G77" s="1"/>
      <c r="H77" s="1"/>
      <c r="I77" s="1"/>
      <c r="J77" s="1"/>
      <c r="K77" s="1"/>
      <c r="L77" s="1"/>
      <c r="M77" s="1"/>
      <c r="N77" s="8"/>
    </row>
    <row r="78" spans="2:15" x14ac:dyDescent="0.2">
      <c r="B78" s="7" t="s">
        <v>121</v>
      </c>
      <c r="C78" s="1" t="s">
        <v>119</v>
      </c>
      <c r="D78" s="1">
        <v>1</v>
      </c>
      <c r="E78" s="1" t="s">
        <v>73</v>
      </c>
      <c r="F78" s="1" t="s">
        <v>120</v>
      </c>
      <c r="G78" s="1">
        <v>3.9370799999999999E-4</v>
      </c>
      <c r="H78" s="1"/>
      <c r="I78" s="1"/>
      <c r="J78" s="1"/>
      <c r="K78" s="1"/>
      <c r="L78" s="1"/>
      <c r="M78" s="1"/>
      <c r="N78" s="8"/>
    </row>
    <row r="79" spans="2:15" x14ac:dyDescent="0.2">
      <c r="B79" s="13" t="s">
        <v>194</v>
      </c>
      <c r="C79" s="14">
        <v>1</v>
      </c>
      <c r="D79" s="1" t="s">
        <v>122</v>
      </c>
      <c r="E79" s="1">
        <v>1</v>
      </c>
      <c r="F79" s="1">
        <v>0</v>
      </c>
      <c r="G79" s="1">
        <v>0</v>
      </c>
      <c r="H79" s="1">
        <v>-1</v>
      </c>
      <c r="I79" s="1"/>
      <c r="J79" s="1"/>
      <c r="K79" s="1"/>
      <c r="L79" s="1"/>
      <c r="M79" s="1"/>
      <c r="N79" s="8"/>
      <c r="O79" s="1"/>
    </row>
    <row r="80" spans="2:15" x14ac:dyDescent="0.2">
      <c r="B80" s="13" t="s">
        <v>194</v>
      </c>
      <c r="C80" s="14">
        <v>1</v>
      </c>
      <c r="D80" s="1" t="s">
        <v>123</v>
      </c>
      <c r="E80" s="1" t="s">
        <v>195</v>
      </c>
      <c r="F80" s="1">
        <v>1</v>
      </c>
      <c r="G80" s="1" t="s">
        <v>73</v>
      </c>
      <c r="H80" s="1" t="s">
        <v>120</v>
      </c>
      <c r="I80" s="1">
        <v>0.22480900000000001</v>
      </c>
      <c r="J80" s="1"/>
      <c r="K80" s="1"/>
      <c r="L80" s="1"/>
      <c r="M80" s="1"/>
      <c r="N80" s="8"/>
      <c r="O80" s="1"/>
    </row>
    <row r="81" spans="2:15" x14ac:dyDescent="0.2">
      <c r="B81" s="13" t="s">
        <v>194</v>
      </c>
      <c r="C81" s="14">
        <v>1</v>
      </c>
      <c r="D81" s="1" t="s">
        <v>124</v>
      </c>
      <c r="E81" s="1" t="s">
        <v>196</v>
      </c>
      <c r="F81" s="1">
        <v>1</v>
      </c>
      <c r="G81" s="1" t="s">
        <v>73</v>
      </c>
      <c r="H81" s="1" t="s">
        <v>125</v>
      </c>
      <c r="I81" s="1" t="s">
        <v>120</v>
      </c>
      <c r="J81" s="1">
        <v>3.28084</v>
      </c>
      <c r="K81" s="1">
        <v>2.2480900000000002E-2</v>
      </c>
      <c r="L81" s="1"/>
      <c r="M81" s="1"/>
      <c r="N81" s="8"/>
      <c r="O81" s="1"/>
    </row>
    <row r="82" spans="2:15" x14ac:dyDescent="0.2">
      <c r="B82" s="13" t="s">
        <v>194</v>
      </c>
      <c r="C82" s="14">
        <v>2</v>
      </c>
      <c r="D82" s="1" t="s">
        <v>126</v>
      </c>
      <c r="E82" s="1" t="s">
        <v>197</v>
      </c>
      <c r="F82" s="1">
        <v>1</v>
      </c>
      <c r="G82" s="1" t="s">
        <v>73</v>
      </c>
      <c r="H82" s="1" t="s">
        <v>125</v>
      </c>
      <c r="I82" s="1" t="s">
        <v>120</v>
      </c>
      <c r="J82" s="1">
        <v>1.37044E-2</v>
      </c>
      <c r="K82" s="1"/>
      <c r="L82" s="1"/>
      <c r="M82" s="1"/>
      <c r="N82" s="8"/>
      <c r="O82" s="1"/>
    </row>
    <row r="83" spans="2:15" x14ac:dyDescent="0.2">
      <c r="B83" s="13" t="s">
        <v>194</v>
      </c>
      <c r="C83" s="14">
        <v>3</v>
      </c>
      <c r="D83" s="1" t="s">
        <v>127</v>
      </c>
      <c r="E83" s="1" t="s">
        <v>198</v>
      </c>
      <c r="F83" s="1">
        <v>1</v>
      </c>
      <c r="G83" s="1" t="s">
        <v>73</v>
      </c>
      <c r="H83" s="1" t="s">
        <v>125</v>
      </c>
      <c r="I83" s="1" t="s">
        <v>120</v>
      </c>
      <c r="J83" s="1">
        <v>2.0556499999999998E-2</v>
      </c>
      <c r="K83" s="1">
        <v>2.0762099999999999E-2</v>
      </c>
      <c r="L83" s="1"/>
      <c r="M83" s="1"/>
      <c r="N83" s="8"/>
      <c r="O83" s="1"/>
    </row>
    <row r="84" spans="2:15" x14ac:dyDescent="0.2">
      <c r="B84" s="13" t="s">
        <v>194</v>
      </c>
      <c r="C84" s="14">
        <v>4</v>
      </c>
      <c r="D84" s="1" t="s">
        <v>128</v>
      </c>
      <c r="E84" s="1" t="s">
        <v>119</v>
      </c>
      <c r="F84" s="1">
        <v>1</v>
      </c>
      <c r="G84" s="1" t="s">
        <v>73</v>
      </c>
      <c r="H84" s="1" t="s">
        <v>125</v>
      </c>
      <c r="I84" s="1" t="s">
        <v>120</v>
      </c>
      <c r="J84" s="1">
        <v>13.1234</v>
      </c>
      <c r="K84" s="1">
        <v>2.7408700000000001E-2</v>
      </c>
      <c r="L84" s="3">
        <v>0.4</v>
      </c>
      <c r="M84" s="1">
        <v>2.76828E-2</v>
      </c>
      <c r="N84" s="8"/>
      <c r="O84" s="1"/>
    </row>
    <row r="85" spans="2:15" x14ac:dyDescent="0.2">
      <c r="B85" s="13" t="s">
        <v>194</v>
      </c>
      <c r="C85" s="14">
        <v>5</v>
      </c>
      <c r="D85" s="1" t="s">
        <v>129</v>
      </c>
      <c r="E85" s="1" t="s">
        <v>199</v>
      </c>
      <c r="F85" s="1">
        <v>1</v>
      </c>
      <c r="G85" s="1" t="s">
        <v>73</v>
      </c>
      <c r="H85" s="1" t="s">
        <v>125</v>
      </c>
      <c r="I85" s="1" t="s">
        <v>120</v>
      </c>
      <c r="J85" s="1">
        <v>16.404199999999999</v>
      </c>
      <c r="K85" s="1">
        <v>3.4260899999999997E-2</v>
      </c>
      <c r="L85" s="3">
        <v>0.5</v>
      </c>
      <c r="M85" s="1">
        <v>3.4603500000000002E-2</v>
      </c>
      <c r="N85" s="8"/>
      <c r="O85" s="1"/>
    </row>
    <row r="86" spans="2:15" x14ac:dyDescent="0.2">
      <c r="B86" s="13" t="s">
        <v>194</v>
      </c>
      <c r="C86" s="14">
        <v>1</v>
      </c>
      <c r="D86" s="1" t="s">
        <v>130</v>
      </c>
      <c r="E86" s="1" t="s">
        <v>119</v>
      </c>
      <c r="F86" s="1">
        <v>1</v>
      </c>
      <c r="G86" s="1" t="s">
        <v>120</v>
      </c>
      <c r="H86" s="1">
        <v>3.28084</v>
      </c>
      <c r="I86" s="1">
        <v>3.28084</v>
      </c>
      <c r="J86" s="1"/>
      <c r="K86" s="1"/>
      <c r="L86" s="1"/>
      <c r="M86" s="1"/>
      <c r="N86" s="8"/>
      <c r="O86" s="1"/>
    </row>
    <row r="87" spans="2:15" x14ac:dyDescent="0.2">
      <c r="B87" s="13" t="s">
        <v>194</v>
      </c>
      <c r="C87" s="14">
        <v>2</v>
      </c>
      <c r="D87" s="1" t="s">
        <v>130</v>
      </c>
      <c r="E87" s="1" t="s">
        <v>119</v>
      </c>
      <c r="F87" s="1">
        <v>1</v>
      </c>
      <c r="G87" s="1" t="s">
        <v>120</v>
      </c>
      <c r="H87" s="3">
        <v>0.2</v>
      </c>
      <c r="I87" s="1">
        <v>6.56168</v>
      </c>
      <c r="J87" s="1"/>
      <c r="K87" s="1"/>
      <c r="L87" s="1"/>
      <c r="M87" s="1"/>
      <c r="N87" s="8"/>
      <c r="O87" s="1"/>
    </row>
    <row r="88" spans="2:15" x14ac:dyDescent="0.2">
      <c r="B88" s="13" t="s">
        <v>194</v>
      </c>
      <c r="C88" s="14">
        <v>1</v>
      </c>
      <c r="D88" s="1" t="s">
        <v>131</v>
      </c>
      <c r="E88" s="1" t="s">
        <v>119</v>
      </c>
      <c r="F88" s="1">
        <v>1</v>
      </c>
      <c r="G88" s="1">
        <v>2.2480900000000002E-2</v>
      </c>
      <c r="H88" s="1"/>
      <c r="I88" s="1"/>
      <c r="J88" s="1"/>
      <c r="K88" s="1"/>
      <c r="L88" s="1"/>
      <c r="M88" s="1"/>
      <c r="N88" s="8"/>
      <c r="O88" s="1"/>
    </row>
    <row r="89" spans="2:15" x14ac:dyDescent="0.2">
      <c r="B89" s="13" t="s">
        <v>194</v>
      </c>
      <c r="C89" s="14">
        <v>2</v>
      </c>
      <c r="D89" s="1" t="s">
        <v>132</v>
      </c>
      <c r="E89" s="1" t="s">
        <v>119</v>
      </c>
      <c r="F89" s="1">
        <v>1</v>
      </c>
      <c r="G89" s="1">
        <v>2E-3</v>
      </c>
      <c r="H89" s="1"/>
      <c r="I89" s="1"/>
      <c r="J89" s="1"/>
      <c r="K89" s="1"/>
      <c r="L89" s="1"/>
      <c r="M89" s="1"/>
      <c r="N89" s="8"/>
      <c r="O89" s="1"/>
    </row>
    <row r="90" spans="2:15" x14ac:dyDescent="0.2">
      <c r="B90" s="13" t="s">
        <v>194</v>
      </c>
      <c r="C90" s="14">
        <v>3</v>
      </c>
      <c r="D90" s="1" t="s">
        <v>133</v>
      </c>
      <c r="E90" s="1" t="s">
        <v>119</v>
      </c>
      <c r="F90" s="1">
        <v>1</v>
      </c>
      <c r="G90" s="1">
        <v>9.8425200000000004E-2</v>
      </c>
      <c r="H90" s="1"/>
      <c r="I90" s="1"/>
      <c r="J90" s="1"/>
      <c r="K90" s="1"/>
      <c r="L90" s="1"/>
      <c r="M90" s="1"/>
      <c r="N90" s="8"/>
      <c r="O90" s="1"/>
    </row>
    <row r="91" spans="2:15" x14ac:dyDescent="0.2">
      <c r="B91" s="13" t="s">
        <v>194</v>
      </c>
      <c r="C91" s="14">
        <v>4</v>
      </c>
      <c r="D91" s="1" t="s">
        <v>134</v>
      </c>
      <c r="E91" s="1" t="s">
        <v>119</v>
      </c>
      <c r="F91" s="1">
        <v>1</v>
      </c>
      <c r="G91" s="1">
        <v>8.9923600000000006E-2</v>
      </c>
      <c r="H91" s="1">
        <v>1.3123400000000001</v>
      </c>
      <c r="I91" s="1">
        <v>0.13123399999999999</v>
      </c>
      <c r="J91" s="1"/>
      <c r="K91" s="1"/>
      <c r="L91" s="1"/>
      <c r="M91" s="1"/>
      <c r="N91" s="8"/>
      <c r="O91" s="1"/>
    </row>
    <row r="92" spans="2:15" x14ac:dyDescent="0.2">
      <c r="B92" s="13" t="s">
        <v>194</v>
      </c>
      <c r="C92" s="14">
        <v>1</v>
      </c>
      <c r="D92" s="1" t="s">
        <v>135</v>
      </c>
      <c r="E92" s="1" t="s">
        <v>119</v>
      </c>
      <c r="F92" s="1">
        <v>1</v>
      </c>
      <c r="G92" s="1" t="s">
        <v>67</v>
      </c>
      <c r="H92" s="1">
        <v>1</v>
      </c>
      <c r="I92" s="1" t="s">
        <v>120</v>
      </c>
      <c r="J92" s="2">
        <v>1.45038E-5</v>
      </c>
      <c r="K92" s="2">
        <v>1.4648799999999999E-5</v>
      </c>
      <c r="L92" s="1"/>
      <c r="M92" s="1"/>
      <c r="N92" s="8"/>
      <c r="O92" s="1"/>
    </row>
    <row r="93" spans="2:15" x14ac:dyDescent="0.2">
      <c r="B93" s="13" t="s">
        <v>194</v>
      </c>
      <c r="C93" s="14">
        <v>1</v>
      </c>
      <c r="D93" s="1" t="s">
        <v>136</v>
      </c>
      <c r="E93" s="1" t="s">
        <v>119</v>
      </c>
      <c r="F93" s="1">
        <v>1</v>
      </c>
      <c r="G93" s="1" t="s">
        <v>67</v>
      </c>
      <c r="H93" s="1" t="s">
        <v>137</v>
      </c>
      <c r="I93" s="1" t="s">
        <v>125</v>
      </c>
      <c r="J93" s="1" t="s">
        <v>120</v>
      </c>
      <c r="K93" s="2">
        <v>1.45038E-5</v>
      </c>
      <c r="L93" s="1"/>
      <c r="M93" s="1"/>
      <c r="N93" s="8"/>
      <c r="O93" s="1"/>
    </row>
    <row r="94" spans="2:15" x14ac:dyDescent="0.2">
      <c r="B94" s="13" t="s">
        <v>194</v>
      </c>
      <c r="C94" s="14">
        <v>2</v>
      </c>
      <c r="D94" s="1" t="s">
        <v>136</v>
      </c>
      <c r="E94" s="1" t="s">
        <v>119</v>
      </c>
      <c r="F94" s="1">
        <v>1</v>
      </c>
      <c r="G94" s="1" t="s">
        <v>67</v>
      </c>
      <c r="H94" s="1" t="s">
        <v>68</v>
      </c>
      <c r="I94" s="1" t="s">
        <v>125</v>
      </c>
      <c r="J94" s="1" t="s">
        <v>120</v>
      </c>
      <c r="K94" s="2">
        <v>2.90075E-5</v>
      </c>
      <c r="L94" s="2">
        <v>2.9152599999999999E-5</v>
      </c>
      <c r="M94" s="2">
        <v>2.9297599999999999E-5</v>
      </c>
      <c r="N94" s="15">
        <v>2.9442699999999998E-5</v>
      </c>
      <c r="O94" s="1"/>
    </row>
    <row r="95" spans="2:15" x14ac:dyDescent="0.2">
      <c r="B95" s="13" t="s">
        <v>194</v>
      </c>
      <c r="C95" s="14">
        <v>1</v>
      </c>
      <c r="D95" s="1" t="s">
        <v>138</v>
      </c>
      <c r="E95" s="1" t="s">
        <v>119</v>
      </c>
      <c r="F95" s="1">
        <v>1</v>
      </c>
      <c r="G95" s="1" t="s">
        <v>139</v>
      </c>
      <c r="H95" s="1">
        <v>6.8521800000000002E-3</v>
      </c>
      <c r="I95" s="1">
        <v>0</v>
      </c>
      <c r="J95" s="1"/>
      <c r="K95" s="1"/>
      <c r="L95" s="1"/>
      <c r="M95" s="1"/>
      <c r="N95" s="8"/>
      <c r="O95" s="1"/>
    </row>
    <row r="96" spans="2:15" x14ac:dyDescent="0.2">
      <c r="B96" s="13" t="s">
        <v>194</v>
      </c>
      <c r="C96" s="14">
        <v>2</v>
      </c>
      <c r="D96" s="1" t="s">
        <v>140</v>
      </c>
      <c r="E96" s="1" t="s">
        <v>119</v>
      </c>
      <c r="F96" s="1">
        <v>1</v>
      </c>
      <c r="G96" s="1" t="s">
        <v>139</v>
      </c>
      <c r="H96" s="1">
        <v>2E-3</v>
      </c>
      <c r="I96" s="1">
        <v>0</v>
      </c>
      <c r="J96" s="1"/>
      <c r="K96" s="1"/>
      <c r="L96" s="1"/>
      <c r="M96" s="1"/>
      <c r="N96" s="8"/>
      <c r="O96" s="1"/>
    </row>
    <row r="97" spans="2:15" x14ac:dyDescent="0.2">
      <c r="B97" s="13" t="s">
        <v>194</v>
      </c>
      <c r="C97" s="14">
        <v>1</v>
      </c>
      <c r="D97" s="1" t="s">
        <v>141</v>
      </c>
      <c r="E97" s="1" t="s">
        <v>119</v>
      </c>
      <c r="F97" s="1">
        <v>1</v>
      </c>
      <c r="G97" s="1" t="s">
        <v>137</v>
      </c>
      <c r="H97" s="1">
        <v>18</v>
      </c>
      <c r="I97" s="1"/>
      <c r="J97" s="1"/>
      <c r="K97" s="1"/>
      <c r="L97" s="1"/>
      <c r="M97" s="1"/>
      <c r="N97" s="8"/>
      <c r="O97" s="1"/>
    </row>
    <row r="98" spans="2:15" x14ac:dyDescent="0.2">
      <c r="B98" s="13" t="s">
        <v>194</v>
      </c>
      <c r="C98" s="14">
        <v>1</v>
      </c>
      <c r="D98" s="1" t="s">
        <v>141</v>
      </c>
      <c r="E98" s="1" t="s">
        <v>119</v>
      </c>
      <c r="F98" s="1">
        <v>1</v>
      </c>
      <c r="G98" s="1" t="s">
        <v>142</v>
      </c>
      <c r="H98" s="1">
        <v>-0.65616799999999997</v>
      </c>
      <c r="I98" s="1">
        <v>36</v>
      </c>
      <c r="J98" s="1">
        <v>0.65616799999999997</v>
      </c>
      <c r="K98" s="1">
        <v>39.6</v>
      </c>
      <c r="L98" s="1"/>
      <c r="M98" s="1"/>
      <c r="N98" s="8"/>
      <c r="O98" s="1"/>
    </row>
    <row r="99" spans="2:15" x14ac:dyDescent="0.2">
      <c r="B99" s="13" t="s">
        <v>194</v>
      </c>
      <c r="C99" s="14">
        <v>1</v>
      </c>
      <c r="D99" s="1" t="s">
        <v>143</v>
      </c>
      <c r="E99" s="1" t="s">
        <v>119</v>
      </c>
      <c r="F99" s="1">
        <v>1</v>
      </c>
      <c r="G99" s="1" t="s">
        <v>137</v>
      </c>
      <c r="H99" s="1">
        <v>18</v>
      </c>
      <c r="I99" s="1"/>
      <c r="J99" s="1"/>
      <c r="K99" s="1"/>
      <c r="L99" s="1"/>
      <c r="M99" s="1"/>
      <c r="N99" s="8"/>
      <c r="O99" s="1"/>
    </row>
    <row r="100" spans="2:15" x14ac:dyDescent="0.2">
      <c r="B100" s="13" t="s">
        <v>194</v>
      </c>
      <c r="C100" s="14">
        <v>1</v>
      </c>
      <c r="D100" s="1" t="s">
        <v>143</v>
      </c>
      <c r="E100" s="1" t="s">
        <v>119</v>
      </c>
      <c r="F100" s="1">
        <v>1</v>
      </c>
      <c r="G100" s="1" t="s">
        <v>144</v>
      </c>
      <c r="H100" s="1">
        <v>36</v>
      </c>
      <c r="I100" s="1">
        <v>39.6</v>
      </c>
      <c r="J100" s="1"/>
      <c r="K100" s="1"/>
      <c r="L100" s="1"/>
      <c r="M100" s="1"/>
      <c r="N100" s="8"/>
      <c r="O100" s="1"/>
    </row>
    <row r="101" spans="2:15" x14ac:dyDescent="0.2">
      <c r="B101" s="13" t="s">
        <v>193</v>
      </c>
      <c r="C101" s="1" t="s">
        <v>143</v>
      </c>
      <c r="D101" s="1" t="s">
        <v>119</v>
      </c>
      <c r="E101" s="1">
        <v>1</v>
      </c>
      <c r="F101" s="1" t="s">
        <v>68</v>
      </c>
      <c r="G101" s="1">
        <v>54</v>
      </c>
      <c r="H101" s="1">
        <v>55.8</v>
      </c>
      <c r="I101" s="1">
        <v>57.6</v>
      </c>
      <c r="J101" s="1">
        <v>59.4</v>
      </c>
      <c r="K101" s="1">
        <v>61.2</v>
      </c>
      <c r="L101" s="1">
        <v>63</v>
      </c>
      <c r="M101" s="1">
        <v>64.8</v>
      </c>
      <c r="N101" s="8">
        <v>66.599999999999994</v>
      </c>
    </row>
    <row r="102" spans="2:15" x14ac:dyDescent="0.2">
      <c r="B102" s="7" t="s">
        <v>145</v>
      </c>
      <c r="C102" s="1">
        <v>1</v>
      </c>
      <c r="D102" s="1">
        <v>3.28084</v>
      </c>
      <c r="E102" s="1">
        <v>3.6089199999999999</v>
      </c>
      <c r="F102" s="1">
        <v>1</v>
      </c>
      <c r="G102" s="1" t="s">
        <v>73</v>
      </c>
      <c r="H102" s="1" t="s">
        <v>120</v>
      </c>
      <c r="I102" s="1">
        <v>2.2480900000000002E-2</v>
      </c>
      <c r="J102" s="1" t="s">
        <v>117</v>
      </c>
      <c r="K102" s="1"/>
      <c r="L102" s="1"/>
      <c r="M102" s="1"/>
      <c r="N102" s="8"/>
    </row>
    <row r="103" spans="2:15" x14ac:dyDescent="0.2">
      <c r="B103" s="7" t="s">
        <v>146</v>
      </c>
      <c r="C103" s="1">
        <v>1</v>
      </c>
      <c r="D103" s="1">
        <v>1</v>
      </c>
      <c r="E103" s="1">
        <v>1</v>
      </c>
      <c r="F103" s="1" t="s">
        <v>73</v>
      </c>
      <c r="G103" s="1" t="s">
        <v>109</v>
      </c>
      <c r="H103" s="1" t="s">
        <v>120</v>
      </c>
      <c r="I103" s="1">
        <v>6.8521800000000002E-3</v>
      </c>
      <c r="J103" s="1">
        <v>6.9207000000000001E-3</v>
      </c>
      <c r="K103" s="1" t="s">
        <v>117</v>
      </c>
      <c r="L103" s="1"/>
      <c r="M103" s="1"/>
      <c r="N103" s="8"/>
    </row>
    <row r="104" spans="2:15" x14ac:dyDescent="0.2">
      <c r="B104" s="7" t="s">
        <v>147</v>
      </c>
      <c r="C104" s="1">
        <v>1</v>
      </c>
      <c r="D104" s="1" t="s">
        <v>148</v>
      </c>
      <c r="E104" s="1">
        <v>1</v>
      </c>
      <c r="F104" s="1">
        <v>1</v>
      </c>
      <c r="G104" s="1" t="s">
        <v>73</v>
      </c>
      <c r="H104" s="1" t="s">
        <v>109</v>
      </c>
      <c r="I104" s="1" t="s">
        <v>120</v>
      </c>
      <c r="J104" s="2">
        <v>1.45038E-5</v>
      </c>
      <c r="K104" s="1" t="s">
        <v>117</v>
      </c>
      <c r="L104" s="1"/>
      <c r="M104" s="1"/>
      <c r="N104" s="8"/>
    </row>
    <row r="105" spans="2:15" x14ac:dyDescent="0.2">
      <c r="B105" s="7" t="s">
        <v>149</v>
      </c>
      <c r="C105" s="1">
        <v>1</v>
      </c>
      <c r="D105" s="1" t="s">
        <v>150</v>
      </c>
      <c r="E105" s="1">
        <v>0</v>
      </c>
      <c r="F105" s="1">
        <v>2</v>
      </c>
      <c r="G105" s="1">
        <v>3.28084</v>
      </c>
      <c r="H105" s="1">
        <v>3.28084</v>
      </c>
      <c r="I105" s="1">
        <v>2.2480900000000002E-2</v>
      </c>
      <c r="J105" s="1">
        <v>2.2705699999999999E-2</v>
      </c>
      <c r="K105" s="1">
        <v>19.684999999999999</v>
      </c>
      <c r="L105" s="1">
        <v>3.28084</v>
      </c>
      <c r="M105" s="1">
        <v>4.4961800000000003E-2</v>
      </c>
      <c r="N105" s="8">
        <v>4.5411399999999998E-2</v>
      </c>
    </row>
    <row r="106" spans="2:15" x14ac:dyDescent="0.2">
      <c r="B106" s="7" t="s">
        <v>151</v>
      </c>
      <c r="C106" s="1">
        <v>1</v>
      </c>
      <c r="D106" s="1" t="s">
        <v>152</v>
      </c>
      <c r="E106" s="1">
        <v>1</v>
      </c>
      <c r="F106" s="1">
        <v>3</v>
      </c>
      <c r="G106" s="1">
        <v>0</v>
      </c>
      <c r="H106" s="1">
        <v>-3.0479999999999998E-4</v>
      </c>
      <c r="I106" s="1">
        <v>328.084</v>
      </c>
      <c r="J106" s="1">
        <v>-3.0479999999999998E-4</v>
      </c>
      <c r="K106" s="1">
        <v>656.16800000000001</v>
      </c>
      <c r="L106" s="1">
        <v>0</v>
      </c>
      <c r="M106" s="1"/>
      <c r="N106" s="8"/>
    </row>
    <row r="107" spans="2:15" x14ac:dyDescent="0.2">
      <c r="B107" s="7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8"/>
    </row>
    <row r="108" spans="2:15" x14ac:dyDescent="0.2">
      <c r="B108" s="7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8"/>
    </row>
    <row r="109" spans="2:15" x14ac:dyDescent="0.2">
      <c r="B109" s="7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8"/>
    </row>
    <row r="110" spans="2:15" x14ac:dyDescent="0.2">
      <c r="B110" s="7" t="s">
        <v>153</v>
      </c>
      <c r="C110" s="1">
        <v>1</v>
      </c>
      <c r="D110" s="1" t="s">
        <v>154</v>
      </c>
      <c r="E110" s="1" t="s">
        <v>155</v>
      </c>
      <c r="F110" s="1">
        <v>1</v>
      </c>
      <c r="G110" s="1">
        <v>1</v>
      </c>
      <c r="H110" s="1">
        <v>-3.28084</v>
      </c>
      <c r="I110" s="1">
        <v>3.28084</v>
      </c>
      <c r="J110" s="1">
        <v>0.5</v>
      </c>
      <c r="K110" s="1"/>
      <c r="L110" s="1"/>
      <c r="M110" s="1"/>
      <c r="N110" s="8"/>
    </row>
    <row r="111" spans="2:15" x14ac:dyDescent="0.2">
      <c r="B111" s="7" t="s">
        <v>153</v>
      </c>
      <c r="C111" s="1">
        <v>2</v>
      </c>
      <c r="D111" s="1" t="s">
        <v>156</v>
      </c>
      <c r="E111" s="1" t="s">
        <v>157</v>
      </c>
      <c r="F111" s="1">
        <v>1</v>
      </c>
      <c r="G111" s="1">
        <v>1</v>
      </c>
      <c r="H111" s="1">
        <v>6.56168</v>
      </c>
      <c r="I111" s="1">
        <v>3.9370099999999999</v>
      </c>
      <c r="J111" s="1">
        <v>0.4</v>
      </c>
      <c r="K111" s="1"/>
      <c r="L111" s="1"/>
      <c r="M111" s="1"/>
      <c r="N111" s="8"/>
    </row>
    <row r="112" spans="2:15" x14ac:dyDescent="0.2">
      <c r="B112" s="7" t="s">
        <v>158</v>
      </c>
      <c r="C112" s="1">
        <v>1</v>
      </c>
      <c r="D112" s="1" t="s">
        <v>159</v>
      </c>
      <c r="E112" s="1">
        <v>1</v>
      </c>
      <c r="F112" s="1">
        <v>1</v>
      </c>
      <c r="G112" s="1" t="s">
        <v>160</v>
      </c>
      <c r="H112" s="1">
        <v>3.28084</v>
      </c>
      <c r="I112" s="1">
        <v>36.089199999999998</v>
      </c>
      <c r="J112" s="1" t="s">
        <v>161</v>
      </c>
      <c r="K112" s="1">
        <v>7.6059200000000004E-3</v>
      </c>
      <c r="L112" s="1">
        <v>0</v>
      </c>
      <c r="M112" s="1" t="s">
        <v>125</v>
      </c>
      <c r="N112" s="8"/>
    </row>
    <row r="113" spans="2:14" x14ac:dyDescent="0.2">
      <c r="B113" s="7" t="s">
        <v>162</v>
      </c>
      <c r="C113" s="1">
        <v>1</v>
      </c>
      <c r="D113" s="1" t="s">
        <v>159</v>
      </c>
      <c r="E113" s="1">
        <v>1</v>
      </c>
      <c r="F113" s="1">
        <v>1</v>
      </c>
      <c r="G113" s="1" t="s">
        <v>163</v>
      </c>
      <c r="H113" s="1">
        <v>3.28084</v>
      </c>
      <c r="I113" s="1">
        <v>36.089199999999998</v>
      </c>
      <c r="J113" s="1">
        <v>3.28084</v>
      </c>
      <c r="K113" s="1" t="s">
        <v>161</v>
      </c>
      <c r="L113" s="1">
        <v>2.2480900000000002E-2</v>
      </c>
      <c r="M113" s="1"/>
      <c r="N113" s="8"/>
    </row>
    <row r="114" spans="2:14" x14ac:dyDescent="0.2">
      <c r="B114" s="7" t="s">
        <v>164</v>
      </c>
      <c r="C114" s="1">
        <v>1</v>
      </c>
      <c r="D114" s="1">
        <v>1</v>
      </c>
      <c r="E114" s="1" t="s">
        <v>165</v>
      </c>
      <c r="F114" s="1">
        <v>-1</v>
      </c>
      <c r="G114" s="1">
        <v>1</v>
      </c>
      <c r="H114" s="1">
        <v>0.22480900000000001</v>
      </c>
      <c r="I114" s="1">
        <v>0</v>
      </c>
      <c r="J114" s="1">
        <v>1</v>
      </c>
      <c r="K114" s="1">
        <v>0</v>
      </c>
      <c r="L114" s="1"/>
      <c r="M114" s="1"/>
      <c r="N114" s="8"/>
    </row>
    <row r="115" spans="2:14" x14ac:dyDescent="0.2">
      <c r="B115" s="7" t="s">
        <v>164</v>
      </c>
      <c r="C115" s="1">
        <v>2</v>
      </c>
      <c r="D115" s="1">
        <v>1</v>
      </c>
      <c r="E115" s="1" t="s">
        <v>166</v>
      </c>
      <c r="F115" s="1">
        <v>-1</v>
      </c>
      <c r="G115" s="1">
        <v>2</v>
      </c>
      <c r="H115" s="1">
        <v>0</v>
      </c>
      <c r="I115" s="1">
        <v>1</v>
      </c>
      <c r="J115" s="1">
        <v>1</v>
      </c>
      <c r="K115" s="1">
        <v>7.2178500000000003</v>
      </c>
      <c r="L115" s="1"/>
      <c r="M115" s="1"/>
      <c r="N115" s="8"/>
    </row>
    <row r="116" spans="2:14" x14ac:dyDescent="0.2">
      <c r="B116" s="7" t="s">
        <v>167</v>
      </c>
      <c r="C116" s="1" t="s">
        <v>168</v>
      </c>
      <c r="D116" s="1">
        <v>1</v>
      </c>
      <c r="E116" s="1">
        <v>1</v>
      </c>
      <c r="F116" s="1">
        <v>1</v>
      </c>
      <c r="G116" s="1" t="s">
        <v>9</v>
      </c>
      <c r="H116" s="1" t="s">
        <v>73</v>
      </c>
      <c r="I116" s="1" t="s">
        <v>120</v>
      </c>
      <c r="J116" s="1"/>
      <c r="K116" s="1"/>
      <c r="L116" s="1"/>
      <c r="M116" s="1"/>
      <c r="N116" s="8"/>
    </row>
    <row r="117" spans="2:14" x14ac:dyDescent="0.2">
      <c r="B117" s="7" t="s">
        <v>169</v>
      </c>
      <c r="C117" s="1" t="s">
        <v>170</v>
      </c>
      <c r="D117" s="1">
        <v>1</v>
      </c>
      <c r="E117" s="1">
        <v>1</v>
      </c>
      <c r="F117" s="1">
        <v>0.32808399999999999</v>
      </c>
      <c r="G117" s="1">
        <v>1</v>
      </c>
      <c r="H117" s="1" t="s">
        <v>5</v>
      </c>
      <c r="I117" s="1" t="s">
        <v>73</v>
      </c>
      <c r="J117" s="1" t="s">
        <v>171</v>
      </c>
      <c r="K117" s="1"/>
      <c r="L117" s="1"/>
      <c r="M117" s="1"/>
      <c r="N117" s="8"/>
    </row>
    <row r="118" spans="2:14" x14ac:dyDescent="0.2">
      <c r="B118" s="7" t="s">
        <v>169</v>
      </c>
      <c r="C118" s="1" t="s">
        <v>172</v>
      </c>
      <c r="D118" s="1">
        <v>1</v>
      </c>
      <c r="E118" s="1">
        <v>1</v>
      </c>
      <c r="F118" s="3">
        <v>0.2</v>
      </c>
      <c r="G118" s="1">
        <v>1</v>
      </c>
      <c r="H118" s="1" t="s">
        <v>5</v>
      </c>
      <c r="I118" s="1" t="s">
        <v>73</v>
      </c>
      <c r="J118" s="1" t="s">
        <v>171</v>
      </c>
      <c r="K118" s="1"/>
      <c r="L118" s="1"/>
      <c r="M118" s="1"/>
      <c r="N118" s="8"/>
    </row>
    <row r="119" spans="2:14" ht="13.5" thickBot="1" x14ac:dyDescent="0.25">
      <c r="B119" s="9" t="s">
        <v>173</v>
      </c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1"/>
    </row>
    <row r="120" spans="2:14" ht="13.5" thickTop="1" x14ac:dyDescent="0.2"/>
  </sheetData>
  <mergeCells count="7">
    <mergeCell ref="B10:D10"/>
    <mergeCell ref="B8:N8"/>
    <mergeCell ref="A1:D1"/>
    <mergeCell ref="B3:N3"/>
    <mergeCell ref="B5:N5"/>
    <mergeCell ref="B6:N6"/>
    <mergeCell ref="B7:N7"/>
  </mergeCells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3"/>
  <sheetViews>
    <sheetView workbookViewId="0">
      <selection activeCell="G25" sqref="G25"/>
    </sheetView>
  </sheetViews>
  <sheetFormatPr defaultRowHeight="12.75" x14ac:dyDescent="0.2"/>
  <sheetData>
    <row r="1" spans="1:14" ht="15.75" x14ac:dyDescent="0.25">
      <c r="A1" s="42" t="s">
        <v>182</v>
      </c>
      <c r="B1" s="42"/>
      <c r="C1" s="42"/>
      <c r="D1" s="42"/>
    </row>
    <row r="3" spans="1:14" x14ac:dyDescent="0.2">
      <c r="A3" s="12" t="s">
        <v>177</v>
      </c>
      <c r="B3" s="41" t="s">
        <v>192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</row>
    <row r="5" spans="1:14" x14ac:dyDescent="0.2">
      <c r="B5" s="41" t="s">
        <v>191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</row>
    <row r="6" spans="1:14" x14ac:dyDescent="0.2">
      <c r="B6" s="41" t="s">
        <v>188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</row>
    <row r="9" spans="1:14" ht="13.5" thickBot="1" x14ac:dyDescent="0.25"/>
    <row r="10" spans="1:14" ht="14.25" thickTop="1" thickBot="1" x14ac:dyDescent="0.25">
      <c r="A10" s="12" t="s">
        <v>175</v>
      </c>
      <c r="B10" s="38" t="s">
        <v>339</v>
      </c>
      <c r="C10" s="39"/>
      <c r="D10" s="40"/>
    </row>
    <row r="11" spans="1:14" ht="13.5" thickTop="1" x14ac:dyDescent="0.2"/>
    <row r="12" spans="1:14" ht="13.5" thickBot="1" x14ac:dyDescent="0.25">
      <c r="A12" s="12" t="s">
        <v>176</v>
      </c>
      <c r="B12" t="s">
        <v>183</v>
      </c>
      <c r="F12" t="s">
        <v>184</v>
      </c>
      <c r="J12" t="s">
        <v>185</v>
      </c>
      <c r="N12" t="s">
        <v>186</v>
      </c>
    </row>
    <row r="13" spans="1:14" ht="13.5" thickTop="1" x14ac:dyDescent="0.2">
      <c r="B13" s="4"/>
      <c r="F13" s="4"/>
      <c r="J13" s="4"/>
      <c r="N13" s="4"/>
    </row>
  </sheetData>
  <mergeCells count="5">
    <mergeCell ref="B10:D10"/>
    <mergeCell ref="A1:D1"/>
    <mergeCell ref="B3:N3"/>
    <mergeCell ref="B5:N5"/>
    <mergeCell ref="B6:N6"/>
  </mergeCells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13"/>
  <sheetViews>
    <sheetView workbookViewId="0">
      <selection activeCell="B10" sqref="B10:D10"/>
    </sheetView>
  </sheetViews>
  <sheetFormatPr defaultRowHeight="12.75" x14ac:dyDescent="0.2"/>
  <cols>
    <col min="2" max="2" width="14.140625" customWidth="1"/>
    <col min="3" max="3" width="8.85546875" customWidth="1"/>
    <col min="4" max="4" width="19.42578125" customWidth="1"/>
  </cols>
  <sheetData>
    <row r="1" spans="1:14" ht="15.75" x14ac:dyDescent="0.25">
      <c r="A1" s="42" t="s">
        <v>219</v>
      </c>
      <c r="B1" s="42"/>
      <c r="C1" s="42"/>
      <c r="D1" s="42"/>
    </row>
    <row r="3" spans="1:14" x14ac:dyDescent="0.2">
      <c r="A3" s="12" t="s">
        <v>177</v>
      </c>
      <c r="B3" s="41" t="s">
        <v>201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</row>
    <row r="5" spans="1:14" x14ac:dyDescent="0.2">
      <c r="B5" s="41" t="s">
        <v>202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</row>
    <row r="6" spans="1:14" x14ac:dyDescent="0.2">
      <c r="B6" s="41" t="s">
        <v>207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</row>
    <row r="7" spans="1:14" x14ac:dyDescent="0.2">
      <c r="B7" t="s">
        <v>206</v>
      </c>
    </row>
    <row r="9" spans="1:14" ht="13.5" thickBot="1" x14ac:dyDescent="0.25"/>
    <row r="10" spans="1:14" ht="14.25" thickTop="1" thickBot="1" x14ac:dyDescent="0.25">
      <c r="A10" s="12" t="s">
        <v>175</v>
      </c>
      <c r="B10" s="38" t="s">
        <v>342</v>
      </c>
      <c r="C10" s="39"/>
      <c r="D10" s="40"/>
    </row>
    <row r="11" spans="1:14" ht="13.5" thickTop="1" x14ac:dyDescent="0.2">
      <c r="B11" t="s">
        <v>203</v>
      </c>
    </row>
    <row r="12" spans="1:14" ht="13.5" thickBot="1" x14ac:dyDescent="0.25">
      <c r="B12" t="s">
        <v>204</v>
      </c>
      <c r="D12" t="s">
        <v>205</v>
      </c>
      <c r="F12" t="s">
        <v>200</v>
      </c>
    </row>
    <row r="13" spans="1:14" ht="13.5" thickTop="1" x14ac:dyDescent="0.2">
      <c r="B13" s="4"/>
      <c r="D13" s="4"/>
      <c r="E13" s="8"/>
      <c r="F13" s="4"/>
      <c r="G13" s="5"/>
      <c r="H13" s="16"/>
    </row>
  </sheetData>
  <mergeCells count="5">
    <mergeCell ref="B10:D10"/>
    <mergeCell ref="A1:D1"/>
    <mergeCell ref="B3:N3"/>
    <mergeCell ref="B5:N5"/>
    <mergeCell ref="B6:N6"/>
  </mergeCells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3"/>
  <sheetViews>
    <sheetView workbookViewId="0">
      <selection activeCell="B10" sqref="B10:D10"/>
    </sheetView>
  </sheetViews>
  <sheetFormatPr defaultRowHeight="12.75" x14ac:dyDescent="0.2"/>
  <cols>
    <col min="4" max="4" width="41.42578125" customWidth="1"/>
  </cols>
  <sheetData>
    <row r="1" spans="1:14" ht="15.75" x14ac:dyDescent="0.25">
      <c r="A1" s="42" t="s">
        <v>217</v>
      </c>
      <c r="B1" s="42"/>
      <c r="C1" s="42"/>
      <c r="D1" s="42"/>
    </row>
    <row r="3" spans="1:14" x14ac:dyDescent="0.2">
      <c r="A3" s="12" t="s">
        <v>177</v>
      </c>
      <c r="B3" s="41" t="s">
        <v>192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</row>
    <row r="5" spans="1:14" x14ac:dyDescent="0.2">
      <c r="B5" s="41" t="s">
        <v>191</v>
      </c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</row>
    <row r="6" spans="1:14" x14ac:dyDescent="0.2">
      <c r="B6" s="41" t="s">
        <v>218</v>
      </c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</row>
    <row r="9" spans="1:14" ht="13.5" thickBot="1" x14ac:dyDescent="0.25"/>
    <row r="10" spans="1:14" ht="14.25" thickTop="1" thickBot="1" x14ac:dyDescent="0.25">
      <c r="A10" s="12" t="s">
        <v>175</v>
      </c>
      <c r="B10" s="38" t="s">
        <v>343</v>
      </c>
      <c r="C10" s="39"/>
      <c r="D10" s="40"/>
      <c r="F10" s="12" t="s">
        <v>340</v>
      </c>
    </row>
    <row r="11" spans="1:14" ht="13.5" thickTop="1" x14ac:dyDescent="0.2"/>
    <row r="12" spans="1:14" ht="13.5" thickBot="1" x14ac:dyDescent="0.25">
      <c r="A12" s="12" t="s">
        <v>176</v>
      </c>
      <c r="B12" t="s">
        <v>208</v>
      </c>
      <c r="C12" t="s">
        <v>209</v>
      </c>
      <c r="D12" t="s">
        <v>210</v>
      </c>
      <c r="E12" t="s">
        <v>211</v>
      </c>
      <c r="G12" t="s">
        <v>212</v>
      </c>
      <c r="H12" t="s">
        <v>216</v>
      </c>
      <c r="I12" t="s">
        <v>214</v>
      </c>
      <c r="J12" t="s">
        <v>213</v>
      </c>
      <c r="K12" t="s">
        <v>215</v>
      </c>
    </row>
    <row r="13" spans="1:14" ht="13.5" thickTop="1" x14ac:dyDescent="0.2">
      <c r="B13" s="4"/>
      <c r="C13" s="5"/>
      <c r="D13" s="5"/>
      <c r="E13" s="5"/>
      <c r="F13" s="8"/>
      <c r="G13" s="5"/>
      <c r="H13" s="5"/>
      <c r="I13" s="5"/>
      <c r="J13" s="5"/>
      <c r="K13" s="5"/>
      <c r="L13" s="16"/>
      <c r="N13" s="1"/>
    </row>
  </sheetData>
  <mergeCells count="5">
    <mergeCell ref="B10:D10"/>
    <mergeCell ref="A1:D1"/>
    <mergeCell ref="B3:N3"/>
    <mergeCell ref="B5:N5"/>
    <mergeCell ref="B6:N6"/>
  </mergeCells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31"/>
  <sheetViews>
    <sheetView workbookViewId="0">
      <selection activeCell="O8" sqref="O8"/>
    </sheetView>
  </sheetViews>
  <sheetFormatPr defaultRowHeight="12.75" x14ac:dyDescent="0.2"/>
  <cols>
    <col min="2" max="2" width="18.42578125" customWidth="1"/>
    <col min="3" max="3" width="8.85546875" customWidth="1"/>
    <col min="4" max="4" width="18.42578125" customWidth="1"/>
    <col min="5" max="5" width="11.5703125" customWidth="1"/>
  </cols>
  <sheetData>
    <row r="1" spans="1:14" ht="15.75" x14ac:dyDescent="0.25">
      <c r="A1" s="42" t="s">
        <v>220</v>
      </c>
      <c r="B1" s="42"/>
      <c r="C1" s="42"/>
      <c r="D1" s="42"/>
    </row>
    <row r="3" spans="1:14" x14ac:dyDescent="0.2">
      <c r="A3" s="12" t="s">
        <v>177</v>
      </c>
      <c r="B3" s="41" t="s">
        <v>221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</row>
    <row r="4" spans="1:14" x14ac:dyDescent="0.2">
      <c r="B4" s="41" t="s">
        <v>239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</row>
    <row r="6" spans="1:14" x14ac:dyDescent="0.2">
      <c r="B6" s="17" t="s">
        <v>223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</row>
    <row r="7" spans="1:14" x14ac:dyDescent="0.2">
      <c r="B7" s="17" t="s">
        <v>254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</row>
    <row r="8" spans="1:14" x14ac:dyDescent="0.2">
      <c r="B8" s="17" t="s">
        <v>255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</row>
    <row r="9" spans="1:14" x14ac:dyDescent="0.2">
      <c r="B9" s="18" t="s">
        <v>227</v>
      </c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</row>
    <row r="10" spans="1:14" x14ac:dyDescent="0.2">
      <c r="B10" s="18" t="s">
        <v>228</v>
      </c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</row>
    <row r="11" spans="1:14" x14ac:dyDescent="0.2">
      <c r="B11" s="18" t="s">
        <v>229</v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</row>
    <row r="12" spans="1:14" x14ac:dyDescent="0.2">
      <c r="B12" s="18" t="s">
        <v>230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</row>
    <row r="13" spans="1:14" x14ac:dyDescent="0.2">
      <c r="B13" s="18" t="s">
        <v>231</v>
      </c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</row>
    <row r="14" spans="1:14" x14ac:dyDescent="0.2">
      <c r="B14" s="18" t="s">
        <v>232</v>
      </c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</row>
    <row r="15" spans="1:14" x14ac:dyDescent="0.2">
      <c r="B15" s="18" t="s">
        <v>233</v>
      </c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</row>
    <row r="16" spans="1:14" x14ac:dyDescent="0.2">
      <c r="B16" s="18" t="s">
        <v>234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</row>
    <row r="17" spans="1:14" x14ac:dyDescent="0.2">
      <c r="B17" s="18" t="s">
        <v>235</v>
      </c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</row>
    <row r="18" spans="1:14" x14ac:dyDescent="0.2">
      <c r="B18" s="18" t="s">
        <v>236</v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</row>
    <row r="19" spans="1:14" x14ac:dyDescent="0.2">
      <c r="B19" s="18" t="s">
        <v>237</v>
      </c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</row>
    <row r="20" spans="1:14" x14ac:dyDescent="0.2">
      <c r="B20" s="17" t="s">
        <v>238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</row>
    <row r="21" spans="1:14" x14ac:dyDescent="0.2">
      <c r="B21" s="18" t="s">
        <v>240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</row>
    <row r="22" spans="1:14" x14ac:dyDescent="0.2">
      <c r="B22" s="18" t="s">
        <v>241</v>
      </c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</row>
    <row r="23" spans="1:14" x14ac:dyDescent="0.2">
      <c r="B23" s="17" t="s">
        <v>242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</row>
    <row r="24" spans="1:14" x14ac:dyDescent="0.2">
      <c r="B24" s="17" t="s">
        <v>222</v>
      </c>
    </row>
    <row r="25" spans="1:14" ht="13.5" thickBot="1" x14ac:dyDescent="0.25"/>
    <row r="26" spans="1:14" ht="14.25" thickTop="1" thickBot="1" x14ac:dyDescent="0.25">
      <c r="A26" s="12" t="s">
        <v>175</v>
      </c>
      <c r="B26" s="38" t="s">
        <v>350</v>
      </c>
      <c r="C26" s="43"/>
    </row>
    <row r="27" spans="1:14" ht="13.5" thickTop="1" x14ac:dyDescent="0.2"/>
    <row r="28" spans="1:14" ht="13.5" thickBot="1" x14ac:dyDescent="0.25">
      <c r="B28" s="12" t="s">
        <v>224</v>
      </c>
      <c r="D28" s="12" t="s">
        <v>225</v>
      </c>
      <c r="E28" s="12" t="s">
        <v>226</v>
      </c>
    </row>
    <row r="29" spans="1:14" ht="13.5" thickTop="1" x14ac:dyDescent="0.2">
      <c r="B29" s="20" t="s">
        <v>243</v>
      </c>
      <c r="D29" s="20" t="s">
        <v>244</v>
      </c>
      <c r="E29" s="20" t="s">
        <v>245</v>
      </c>
    </row>
    <row r="30" spans="1:14" x14ac:dyDescent="0.2">
      <c r="B30" s="21"/>
      <c r="D30" s="21" t="s">
        <v>246</v>
      </c>
      <c r="E30" s="21" t="s">
        <v>247</v>
      </c>
    </row>
    <row r="31" spans="1:14" x14ac:dyDescent="0.2">
      <c r="B31" s="21"/>
      <c r="D31" s="21"/>
      <c r="E31" s="21"/>
    </row>
  </sheetData>
  <mergeCells count="4">
    <mergeCell ref="B26:C26"/>
    <mergeCell ref="A1:D1"/>
    <mergeCell ref="B3:N3"/>
    <mergeCell ref="B4:N4"/>
  </mergeCells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OutputGSAViews">
                <anchor moveWithCells="1" sizeWithCells="1">
                  <from>
                    <xdr:col>5</xdr:col>
                    <xdr:colOff>542925</xdr:colOff>
                    <xdr:row>27</xdr:row>
                    <xdr:rowOff>95250</xdr:rowOff>
                  </from>
                  <to>
                    <xdr:col>7</xdr:col>
                    <xdr:colOff>66675</xdr:colOff>
                    <xdr:row>29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N22"/>
  <sheetViews>
    <sheetView workbookViewId="0">
      <selection activeCell="H29" sqref="H29"/>
    </sheetView>
  </sheetViews>
  <sheetFormatPr defaultRowHeight="12.75" x14ac:dyDescent="0.2"/>
  <cols>
    <col min="1" max="1" width="22.5703125" customWidth="1"/>
    <col min="4" max="4" width="11.85546875" customWidth="1"/>
    <col min="8" max="8" width="13.5703125" customWidth="1"/>
  </cols>
  <sheetData>
    <row r="1" spans="1:14" ht="15.75" x14ac:dyDescent="0.25">
      <c r="A1" s="42" t="s">
        <v>285</v>
      </c>
      <c r="B1" s="42"/>
      <c r="C1" s="42"/>
      <c r="D1" s="42"/>
    </row>
    <row r="3" spans="1:14" x14ac:dyDescent="0.2">
      <c r="A3" s="12" t="s">
        <v>177</v>
      </c>
      <c r="B3" s="41" t="s">
        <v>289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</row>
    <row r="5" spans="1:14" x14ac:dyDescent="0.2">
      <c r="B5" s="17" t="s">
        <v>223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</row>
    <row r="6" spans="1:14" x14ac:dyDescent="0.2">
      <c r="B6" s="17" t="s">
        <v>259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</row>
    <row r="7" spans="1:14" x14ac:dyDescent="0.2">
      <c r="B7" s="17" t="s">
        <v>288</v>
      </c>
    </row>
    <row r="8" spans="1:14" x14ac:dyDescent="0.2">
      <c r="B8" s="18"/>
    </row>
    <row r="9" spans="1:14" ht="13.5" thickBot="1" x14ac:dyDescent="0.25"/>
    <row r="10" spans="1:14" ht="14.25" thickTop="1" thickBot="1" x14ac:dyDescent="0.25">
      <c r="A10" s="12" t="s">
        <v>175</v>
      </c>
      <c r="B10" s="38" t="s">
        <v>349</v>
      </c>
      <c r="C10" s="44"/>
      <c r="D10" s="40"/>
    </row>
    <row r="11" spans="1:14" ht="13.5" thickTop="1" x14ac:dyDescent="0.2"/>
    <row r="13" spans="1:14" ht="13.5" thickBot="1" x14ac:dyDescent="0.25"/>
    <row r="14" spans="1:14" ht="13.5" thickTop="1" x14ac:dyDescent="0.2">
      <c r="B14" s="4" t="s">
        <v>346</v>
      </c>
      <c r="C14" s="16"/>
    </row>
    <row r="15" spans="1:14" x14ac:dyDescent="0.2">
      <c r="B15" s="32"/>
    </row>
    <row r="16" spans="1:14" x14ac:dyDescent="0.2">
      <c r="B16" s="32"/>
    </row>
    <row r="18" spans="2:2" x14ac:dyDescent="0.2">
      <c r="B18" t="s">
        <v>347</v>
      </c>
    </row>
    <row r="22" spans="2:2" x14ac:dyDescent="0.2">
      <c r="B22" t="s">
        <v>348</v>
      </c>
    </row>
  </sheetData>
  <mergeCells count="3">
    <mergeCell ref="A1:D1"/>
    <mergeCell ref="B3:N3"/>
    <mergeCell ref="B10:D10"/>
  </mergeCells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utputGSACases">
                <anchor moveWithCells="1" sizeWithCells="1">
                  <from>
                    <xdr:col>8</xdr:col>
                    <xdr:colOff>561975</xdr:colOff>
                    <xdr:row>8</xdr:row>
                    <xdr:rowOff>104775</xdr:rowOff>
                  </from>
                  <to>
                    <xdr:col>10</xdr:col>
                    <xdr:colOff>76200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69"/>
  <sheetViews>
    <sheetView topLeftCell="A8" workbookViewId="0">
      <selection activeCell="N49" sqref="N49"/>
    </sheetView>
  </sheetViews>
  <sheetFormatPr defaultRowHeight="12.75" x14ac:dyDescent="0.2"/>
  <cols>
    <col min="1" max="1" width="25.42578125" customWidth="1"/>
    <col min="8" max="8" width="13.5703125" customWidth="1"/>
  </cols>
  <sheetData>
    <row r="1" spans="1:14" ht="15.75" x14ac:dyDescent="0.25">
      <c r="A1" s="42" t="s">
        <v>256</v>
      </c>
      <c r="B1" s="42"/>
      <c r="C1" s="42"/>
      <c r="D1" s="42"/>
    </row>
    <row r="3" spans="1:14" x14ac:dyDescent="0.2">
      <c r="A3" s="12" t="s">
        <v>177</v>
      </c>
      <c r="B3" s="41" t="s">
        <v>257</v>
      </c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</row>
    <row r="4" spans="1:14" x14ac:dyDescent="0.2">
      <c r="B4" s="41" t="s">
        <v>258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</row>
    <row r="6" spans="1:14" x14ac:dyDescent="0.2">
      <c r="B6" s="17" t="s">
        <v>223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</row>
    <row r="7" spans="1:14" x14ac:dyDescent="0.2">
      <c r="B7" s="17" t="s">
        <v>259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</row>
    <row r="8" spans="1:14" x14ac:dyDescent="0.2">
      <c r="B8" s="17" t="s">
        <v>260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</row>
    <row r="9" spans="1:14" x14ac:dyDescent="0.2">
      <c r="B9" s="18" t="s">
        <v>261</v>
      </c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</row>
    <row r="10" spans="1:14" x14ac:dyDescent="0.2">
      <c r="B10" s="18" t="s">
        <v>262</v>
      </c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</row>
    <row r="11" spans="1:14" x14ac:dyDescent="0.2">
      <c r="B11" s="18" t="s">
        <v>263</v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</row>
    <row r="12" spans="1:14" x14ac:dyDescent="0.2">
      <c r="B12" s="18" t="s">
        <v>264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</row>
    <row r="13" spans="1:14" x14ac:dyDescent="0.2">
      <c r="B13" s="18" t="s">
        <v>265</v>
      </c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</row>
    <row r="14" spans="1:14" x14ac:dyDescent="0.2">
      <c r="B14" s="18" t="s">
        <v>266</v>
      </c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</row>
    <row r="15" spans="1:14" x14ac:dyDescent="0.2">
      <c r="B15" s="18" t="s">
        <v>275</v>
      </c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</row>
    <row r="16" spans="1:14" x14ac:dyDescent="0.2">
      <c r="B16" s="17" t="s">
        <v>267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</row>
    <row r="17" spans="1:14" x14ac:dyDescent="0.2">
      <c r="B17" s="18" t="s">
        <v>273</v>
      </c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</row>
    <row r="18" spans="1:14" x14ac:dyDescent="0.2">
      <c r="B18" s="17" t="s">
        <v>268</v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</row>
    <row r="19" spans="1:14" x14ac:dyDescent="0.2">
      <c r="B19" s="18" t="s">
        <v>269</v>
      </c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</row>
    <row r="20" spans="1:14" x14ac:dyDescent="0.2">
      <c r="B20" s="17" t="s">
        <v>270</v>
      </c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</row>
    <row r="21" spans="1:14" x14ac:dyDescent="0.2">
      <c r="B21" s="18" t="s">
        <v>271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</row>
    <row r="22" spans="1:14" x14ac:dyDescent="0.2">
      <c r="B22" s="18" t="s">
        <v>272</v>
      </c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</row>
    <row r="23" spans="1:14" x14ac:dyDescent="0.2"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</row>
    <row r="24" spans="1:14" x14ac:dyDescent="0.2">
      <c r="B24" s="17" t="s">
        <v>286</v>
      </c>
    </row>
    <row r="25" spans="1:14" x14ac:dyDescent="0.2">
      <c r="B25" s="17" t="s">
        <v>287</v>
      </c>
    </row>
    <row r="26" spans="1:14" ht="13.5" thickBot="1" x14ac:dyDescent="0.25"/>
    <row r="27" spans="1:14" ht="14.25" thickTop="1" thickBot="1" x14ac:dyDescent="0.25">
      <c r="A27" s="12" t="s">
        <v>175</v>
      </c>
      <c r="B27" s="38" t="s">
        <v>343</v>
      </c>
      <c r="C27" s="44"/>
      <c r="D27" s="40"/>
      <c r="L27" s="12"/>
    </row>
    <row r="28" spans="1:14" ht="14.25" thickTop="1" thickBot="1" x14ac:dyDescent="0.25"/>
    <row r="29" spans="1:14" ht="14.25" thickTop="1" thickBot="1" x14ac:dyDescent="0.25">
      <c r="A29" s="12" t="s">
        <v>274</v>
      </c>
      <c r="B29" s="23" t="s">
        <v>304</v>
      </c>
      <c r="C29" t="s">
        <v>279</v>
      </c>
    </row>
    <row r="30" spans="1:14" ht="14.25" thickTop="1" thickBot="1" x14ac:dyDescent="0.25"/>
    <row r="31" spans="1:14" ht="14.25" thickTop="1" thickBot="1" x14ac:dyDescent="0.25">
      <c r="A31" s="12" t="s">
        <v>276</v>
      </c>
      <c r="B31" s="23">
        <v>12006002</v>
      </c>
      <c r="C31" s="19" t="s">
        <v>280</v>
      </c>
      <c r="F31" s="12" t="s">
        <v>278</v>
      </c>
      <c r="G31" s="45" t="s">
        <v>335</v>
      </c>
      <c r="H31" s="46"/>
      <c r="I31" s="46"/>
      <c r="J31" s="47"/>
      <c r="K31" s="12" t="s">
        <v>284</v>
      </c>
      <c r="L31" s="31" t="s">
        <v>332</v>
      </c>
    </row>
    <row r="32" spans="1:14" ht="14.25" thickTop="1" thickBot="1" x14ac:dyDescent="0.25"/>
    <row r="33" spans="1:9" ht="14.25" thickTop="1" thickBot="1" x14ac:dyDescent="0.25">
      <c r="A33" s="12" t="s">
        <v>277</v>
      </c>
      <c r="B33" s="23">
        <v>73</v>
      </c>
      <c r="C33" s="19"/>
      <c r="D33" s="19"/>
      <c r="F33" s="12" t="s">
        <v>281</v>
      </c>
      <c r="G33" s="26"/>
      <c r="H33" s="25"/>
    </row>
    <row r="34" spans="1:9" ht="14.25" thickTop="1" thickBot="1" x14ac:dyDescent="0.25">
      <c r="A34" s="12" t="s">
        <v>333</v>
      </c>
      <c r="B34" s="23">
        <v>3</v>
      </c>
    </row>
    <row r="35" spans="1:9" ht="14.25" thickTop="1" thickBot="1" x14ac:dyDescent="0.25">
      <c r="A35" s="12" t="s">
        <v>334</v>
      </c>
      <c r="B35" s="19"/>
      <c r="G35" s="12" t="s">
        <v>282</v>
      </c>
      <c r="H35" s="24" t="s">
        <v>283</v>
      </c>
    </row>
    <row r="36" spans="1:9" ht="14.25" thickTop="1" thickBot="1" x14ac:dyDescent="0.25">
      <c r="A36" s="37" t="s">
        <v>336</v>
      </c>
      <c r="B36" s="26">
        <v>165</v>
      </c>
      <c r="G36" s="28"/>
      <c r="H36" s="28">
        <v>-68246.089735478323</v>
      </c>
    </row>
    <row r="37" spans="1:9" ht="13.5" thickTop="1" x14ac:dyDescent="0.2">
      <c r="G37" s="29"/>
      <c r="H37" s="30"/>
    </row>
    <row r="38" spans="1:9" x14ac:dyDescent="0.2">
      <c r="G38" s="29"/>
      <c r="H38" s="30"/>
      <c r="I38" s="27"/>
    </row>
    <row r="39" spans="1:9" x14ac:dyDescent="0.2">
      <c r="F39" s="24"/>
      <c r="G39" s="25"/>
      <c r="H39" s="25"/>
      <c r="I39" s="27"/>
    </row>
    <row r="40" spans="1:9" x14ac:dyDescent="0.2">
      <c r="G40" s="22"/>
      <c r="H40" s="22"/>
    </row>
    <row r="41" spans="1:9" x14ac:dyDescent="0.2">
      <c r="G41" s="22"/>
      <c r="H41" s="22"/>
    </row>
    <row r="42" spans="1:9" x14ac:dyDescent="0.2">
      <c r="G42" s="22"/>
      <c r="H42" s="22"/>
    </row>
    <row r="43" spans="1:9" x14ac:dyDescent="0.2">
      <c r="G43" s="22"/>
      <c r="H43" s="22"/>
    </row>
    <row r="44" spans="1:9" x14ac:dyDescent="0.2">
      <c r="G44" s="22"/>
      <c r="H44" s="22"/>
    </row>
    <row r="45" spans="1:9" x14ac:dyDescent="0.2">
      <c r="G45" s="22"/>
      <c r="H45" s="22"/>
    </row>
    <row r="46" spans="1:9" x14ac:dyDescent="0.2">
      <c r="G46" s="22"/>
      <c r="H46" s="22"/>
    </row>
    <row r="47" spans="1:9" x14ac:dyDescent="0.2">
      <c r="G47" s="22"/>
      <c r="H47" s="22"/>
    </row>
    <row r="48" spans="1:9" x14ac:dyDescent="0.2">
      <c r="G48" s="22"/>
      <c r="H48" s="22"/>
    </row>
    <row r="49" spans="7:8" x14ac:dyDescent="0.2">
      <c r="G49" s="22"/>
      <c r="H49" s="22"/>
    </row>
    <row r="50" spans="7:8" x14ac:dyDescent="0.2">
      <c r="G50" s="22"/>
      <c r="H50" s="22"/>
    </row>
    <row r="51" spans="7:8" x14ac:dyDescent="0.2">
      <c r="G51" s="22"/>
      <c r="H51" s="22"/>
    </row>
    <row r="52" spans="7:8" x14ac:dyDescent="0.2">
      <c r="G52" s="22"/>
      <c r="H52" s="22"/>
    </row>
    <row r="53" spans="7:8" x14ac:dyDescent="0.2">
      <c r="G53" s="22"/>
      <c r="H53" s="22"/>
    </row>
    <row r="54" spans="7:8" x14ac:dyDescent="0.2">
      <c r="G54" s="22"/>
      <c r="H54" s="22"/>
    </row>
    <row r="55" spans="7:8" x14ac:dyDescent="0.2">
      <c r="G55" s="22"/>
      <c r="H55" s="22"/>
    </row>
    <row r="56" spans="7:8" x14ac:dyDescent="0.2">
      <c r="G56" s="22"/>
      <c r="H56" s="22"/>
    </row>
    <row r="57" spans="7:8" x14ac:dyDescent="0.2">
      <c r="G57" s="22"/>
      <c r="H57" s="22"/>
    </row>
    <row r="58" spans="7:8" x14ac:dyDescent="0.2">
      <c r="G58" s="22"/>
      <c r="H58" s="22"/>
    </row>
    <row r="59" spans="7:8" x14ac:dyDescent="0.2">
      <c r="G59" s="22"/>
      <c r="H59" s="22"/>
    </row>
    <row r="60" spans="7:8" x14ac:dyDescent="0.2">
      <c r="G60" s="22"/>
      <c r="H60" s="22"/>
    </row>
    <row r="61" spans="7:8" x14ac:dyDescent="0.2">
      <c r="G61" s="22"/>
      <c r="H61" s="22"/>
    </row>
    <row r="62" spans="7:8" x14ac:dyDescent="0.2">
      <c r="G62" s="22"/>
      <c r="H62" s="22"/>
    </row>
    <row r="63" spans="7:8" x14ac:dyDescent="0.2">
      <c r="G63" s="22"/>
      <c r="H63" s="22"/>
    </row>
    <row r="64" spans="7:8" x14ac:dyDescent="0.2">
      <c r="G64" s="22"/>
      <c r="H64" s="22"/>
    </row>
    <row r="65" spans="7:8" x14ac:dyDescent="0.2">
      <c r="G65" s="22"/>
      <c r="H65" s="22"/>
    </row>
    <row r="66" spans="7:8" x14ac:dyDescent="0.2">
      <c r="G66" s="22"/>
      <c r="H66" s="22"/>
    </row>
    <row r="67" spans="7:8" x14ac:dyDescent="0.2">
      <c r="G67" s="22"/>
      <c r="H67" s="22"/>
    </row>
    <row r="68" spans="7:8" x14ac:dyDescent="0.2">
      <c r="G68" s="22"/>
      <c r="H68" s="22"/>
    </row>
    <row r="69" spans="7:8" x14ac:dyDescent="0.2">
      <c r="G69" s="22"/>
      <c r="H69" s="22"/>
    </row>
  </sheetData>
  <mergeCells count="5">
    <mergeCell ref="G31:J31"/>
    <mergeCell ref="A1:D1"/>
    <mergeCell ref="B3:N3"/>
    <mergeCell ref="B4:N4"/>
    <mergeCell ref="B27:D27"/>
  </mergeCells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saOpenFile">
                <anchor moveWithCells="1" sizeWithCells="1">
                  <from>
                    <xdr:col>8</xdr:col>
                    <xdr:colOff>561975</xdr:colOff>
                    <xdr:row>25</xdr:row>
                    <xdr:rowOff>104775</xdr:rowOff>
                  </from>
                  <to>
                    <xdr:col>10</xdr:col>
                    <xdr:colOff>76200</xdr:colOff>
                    <xdr:row>27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OutputGSAData">
                <anchor moveWithCells="1" sizeWithCells="1">
                  <from>
                    <xdr:col>8</xdr:col>
                    <xdr:colOff>533400</xdr:colOff>
                    <xdr:row>33</xdr:row>
                    <xdr:rowOff>114300</xdr:rowOff>
                  </from>
                  <to>
                    <xdr:col>10</xdr:col>
                    <xdr:colOff>66675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GsaClose">
                <anchor moveWithCells="1" sizeWithCells="1">
                  <from>
                    <xdr:col>8</xdr:col>
                    <xdr:colOff>523875</xdr:colOff>
                    <xdr:row>36</xdr:row>
                    <xdr:rowOff>104775</xdr:rowOff>
                  </from>
                  <to>
                    <xdr:col>10</xdr:col>
                    <xdr:colOff>76200</xdr:colOff>
                    <xdr:row>38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N31"/>
  <sheetViews>
    <sheetView topLeftCell="A10" workbookViewId="0">
      <selection activeCell="B11" sqref="B11:H11"/>
    </sheetView>
  </sheetViews>
  <sheetFormatPr defaultRowHeight="12.75" x14ac:dyDescent="0.2"/>
  <cols>
    <col min="1" max="1" width="15.42578125" customWidth="1"/>
  </cols>
  <sheetData>
    <row r="1" spans="1:14" ht="15.75" x14ac:dyDescent="0.25">
      <c r="A1" s="42" t="s">
        <v>250</v>
      </c>
      <c r="B1" s="42"/>
      <c r="C1" s="42"/>
      <c r="D1" s="42"/>
    </row>
    <row r="3" spans="1:14" x14ac:dyDescent="0.2">
      <c r="A3" s="12" t="s">
        <v>177</v>
      </c>
      <c r="B3" s="41" t="s">
        <v>251</v>
      </c>
      <c r="C3" s="41"/>
      <c r="D3" s="41"/>
      <c r="E3" s="41"/>
      <c r="F3" s="41"/>
      <c r="G3" s="41"/>
      <c r="H3" s="41"/>
      <c r="I3" s="17"/>
      <c r="J3" s="17"/>
      <c r="K3" s="17"/>
      <c r="L3" s="17"/>
      <c r="M3" s="17"/>
      <c r="N3" s="17"/>
    </row>
    <row r="4" spans="1:14" x14ac:dyDescent="0.2">
      <c r="B4" s="53" t="s">
        <v>252</v>
      </c>
      <c r="C4" s="53"/>
      <c r="D4" s="53"/>
      <c r="E4" s="53"/>
      <c r="F4" s="53"/>
      <c r="G4" s="53"/>
      <c r="H4" s="53"/>
      <c r="I4" s="17"/>
      <c r="J4" s="17"/>
      <c r="K4" s="17"/>
      <c r="L4" s="17"/>
      <c r="M4" s="17"/>
      <c r="N4" s="17"/>
    </row>
    <row r="6" spans="1:14" ht="13.5" thickBot="1" x14ac:dyDescent="0.25"/>
    <row r="7" spans="1:14" ht="14.25" thickTop="1" thickBot="1" x14ac:dyDescent="0.25">
      <c r="A7" s="12" t="s">
        <v>175</v>
      </c>
      <c r="B7" s="38" t="s">
        <v>330</v>
      </c>
      <c r="C7" s="44"/>
      <c r="D7" s="40"/>
    </row>
    <row r="8" spans="1:14" ht="13.5" thickTop="1" x14ac:dyDescent="0.2"/>
    <row r="10" spans="1:14" ht="13.5" thickBot="1" x14ac:dyDescent="0.25"/>
    <row r="11" spans="1:14" ht="14.25" thickTop="1" thickBot="1" x14ac:dyDescent="0.25">
      <c r="A11" s="12" t="s">
        <v>248</v>
      </c>
      <c r="B11" s="50" t="s">
        <v>331</v>
      </c>
      <c r="C11" s="51"/>
      <c r="D11" s="51"/>
      <c r="E11" s="51"/>
      <c r="F11" s="51"/>
      <c r="G11" s="51"/>
      <c r="H11" s="52"/>
    </row>
    <row r="12" spans="1:14" ht="14.25" thickTop="1" thickBot="1" x14ac:dyDescent="0.25"/>
    <row r="13" spans="1:14" ht="14.25" thickTop="1" thickBot="1" x14ac:dyDescent="0.25">
      <c r="A13" s="12" t="s">
        <v>253</v>
      </c>
      <c r="B13" s="48">
        <v>1</v>
      </c>
      <c r="C13" s="49"/>
      <c r="D13" s="19"/>
      <c r="E13" s="19"/>
      <c r="F13" s="19"/>
      <c r="G13" s="19"/>
      <c r="H13" s="19"/>
    </row>
    <row r="14" spans="1:14" ht="13.5" thickTop="1" x14ac:dyDescent="0.2"/>
    <row r="24" spans="2:9" x14ac:dyDescent="0.2">
      <c r="B24" s="12" t="s">
        <v>290</v>
      </c>
      <c r="I24" s="12" t="s">
        <v>295</v>
      </c>
    </row>
    <row r="26" spans="2:9" x14ac:dyDescent="0.2">
      <c r="B26" t="s">
        <v>249</v>
      </c>
    </row>
    <row r="28" spans="2:9" x14ac:dyDescent="0.2">
      <c r="B28" t="s">
        <v>291</v>
      </c>
      <c r="I28" t="s">
        <v>299</v>
      </c>
    </row>
    <row r="29" spans="2:9" x14ac:dyDescent="0.2">
      <c r="B29" t="s">
        <v>292</v>
      </c>
      <c r="I29" t="s">
        <v>296</v>
      </c>
    </row>
    <row r="30" spans="2:9" x14ac:dyDescent="0.2">
      <c r="B30" t="s">
        <v>293</v>
      </c>
      <c r="I30" t="s">
        <v>297</v>
      </c>
    </row>
    <row r="31" spans="2:9" x14ac:dyDescent="0.2">
      <c r="B31" t="s">
        <v>294</v>
      </c>
      <c r="I31" t="s">
        <v>298</v>
      </c>
    </row>
  </sheetData>
  <mergeCells count="6">
    <mergeCell ref="B13:C13"/>
    <mergeCell ref="A1:D1"/>
    <mergeCell ref="B7:D7"/>
    <mergeCell ref="B11:H11"/>
    <mergeCell ref="B3:H3"/>
    <mergeCell ref="B4:H4"/>
  </mergeCells>
  <phoneticPr fontId="3" type="noConversion"/>
  <pageMargins left="0.75" right="0.75" top="1" bottom="1" header="0.5" footer="0.5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saOpenFile">
                <anchor moveWithCells="1" sizeWithCells="1">
                  <from>
                    <xdr:col>4</xdr:col>
                    <xdr:colOff>542925</xdr:colOff>
                    <xdr:row>5</xdr:row>
                    <xdr:rowOff>95250</xdr:rowOff>
                  </from>
                  <to>
                    <xdr:col>6</xdr:col>
                    <xdr:colOff>66675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saClose">
                <anchor moveWithCells="1" sizeWithCells="1">
                  <from>
                    <xdr:col>2</xdr:col>
                    <xdr:colOff>561975</xdr:colOff>
                    <xdr:row>18</xdr:row>
                    <xdr:rowOff>123825</xdr:rowOff>
                  </from>
                  <to>
                    <xdr:col>5</xdr:col>
                    <xdr:colOff>66675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GsaSaveFile">
                <anchor moveWithCells="1" sizeWithCells="1">
                  <from>
                    <xdr:col>6</xdr:col>
                    <xdr:colOff>561975</xdr:colOff>
                    <xdr:row>5</xdr:row>
                    <xdr:rowOff>95250</xdr:rowOff>
                  </from>
                  <to>
                    <xdr:col>8</xdr:col>
                    <xdr:colOff>76200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GsaGwaCommand">
                <anchor moveWithCells="1" sizeWithCells="1">
                  <from>
                    <xdr:col>8</xdr:col>
                    <xdr:colOff>533400</xdr:colOff>
                    <xdr:row>9</xdr:row>
                    <xdr:rowOff>95250</xdr:rowOff>
                  </from>
                  <to>
                    <xdr:col>10</xdr:col>
                    <xdr:colOff>66675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GsaDeleteResults">
                <anchor moveWithCells="1" sizeWithCells="1">
                  <from>
                    <xdr:col>2</xdr:col>
                    <xdr:colOff>581025</xdr:colOff>
                    <xdr:row>14</xdr:row>
                    <xdr:rowOff>114300</xdr:rowOff>
                  </from>
                  <to>
                    <xdr:col>4</xdr:col>
                    <xdr:colOff>104775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GsaDeleteResultsAndCases">
                <anchor moveWithCells="1" sizeWithCells="1">
                  <from>
                    <xdr:col>4</xdr:col>
                    <xdr:colOff>581025</xdr:colOff>
                    <xdr:row>14</xdr:row>
                    <xdr:rowOff>104775</xdr:rowOff>
                  </from>
                  <to>
                    <xdr:col>6</xdr:col>
                    <xdr:colOff>257175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GsaAnalyse">
                <anchor moveWithCells="1" sizeWithCells="1">
                  <from>
                    <xdr:col>0</xdr:col>
                    <xdr:colOff>962025</xdr:colOff>
                    <xdr:row>14</xdr:row>
                    <xdr:rowOff>123825</xdr:rowOff>
                  </from>
                  <to>
                    <xdr:col>2</xdr:col>
                    <xdr:colOff>66675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print="0" autoFill="0" autoPict="0" macro="[0]!GsaUpdateViews">
                <anchor moveWithCells="1" sizeWithCells="1">
                  <from>
                    <xdr:col>0</xdr:col>
                    <xdr:colOff>962025</xdr:colOff>
                    <xdr:row>18</xdr:row>
                    <xdr:rowOff>104775</xdr:rowOff>
                  </from>
                  <to>
                    <xdr:col>2</xdr:col>
                    <xdr:colOff>66675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J47"/>
  <sheetViews>
    <sheetView workbookViewId="0">
      <selection activeCell="B10" sqref="B10:G46"/>
    </sheetView>
  </sheetViews>
  <sheetFormatPr defaultRowHeight="12.75" x14ac:dyDescent="0.2"/>
  <sheetData>
    <row r="1" spans="1:10" ht="15.75" x14ac:dyDescent="0.25">
      <c r="A1" s="42" t="s">
        <v>300</v>
      </c>
      <c r="B1" s="42"/>
      <c r="C1" s="42"/>
      <c r="D1" s="42"/>
    </row>
    <row r="3" spans="1:10" x14ac:dyDescent="0.2">
      <c r="A3" s="12" t="s">
        <v>177</v>
      </c>
      <c r="B3" s="41" t="s">
        <v>301</v>
      </c>
      <c r="C3" s="41"/>
      <c r="D3" s="41"/>
      <c r="E3" s="41"/>
      <c r="F3" s="41"/>
      <c r="G3" s="41"/>
      <c r="H3" s="41"/>
      <c r="I3" s="53"/>
      <c r="J3" s="53"/>
    </row>
    <row r="4" spans="1:10" x14ac:dyDescent="0.2">
      <c r="B4" s="53"/>
      <c r="C4" s="53"/>
      <c r="D4" s="53"/>
      <c r="E4" s="53"/>
      <c r="F4" s="53"/>
      <c r="G4" s="53"/>
      <c r="H4" s="53"/>
    </row>
    <row r="9" spans="1:10" ht="13.5" thickBot="1" x14ac:dyDescent="0.25"/>
    <row r="10" spans="1:10" ht="13.5" thickTop="1" x14ac:dyDescent="0.2">
      <c r="B10" s="54" t="s">
        <v>341</v>
      </c>
      <c r="C10" s="55"/>
      <c r="D10" s="55"/>
      <c r="E10" s="55"/>
      <c r="F10" s="55"/>
      <c r="G10" s="56"/>
    </row>
    <row r="11" spans="1:10" x14ac:dyDescent="0.2">
      <c r="B11" s="57"/>
      <c r="C11" s="58"/>
      <c r="D11" s="58"/>
      <c r="E11" s="58"/>
      <c r="F11" s="58"/>
      <c r="G11" s="59"/>
    </row>
    <row r="12" spans="1:10" x14ac:dyDescent="0.2">
      <c r="B12" s="57"/>
      <c r="C12" s="58"/>
      <c r="D12" s="58"/>
      <c r="E12" s="58"/>
      <c r="F12" s="58"/>
      <c r="G12" s="59"/>
    </row>
    <row r="13" spans="1:10" x14ac:dyDescent="0.2">
      <c r="B13" s="57"/>
      <c r="C13" s="58"/>
      <c r="D13" s="58"/>
      <c r="E13" s="58"/>
      <c r="F13" s="58"/>
      <c r="G13" s="59"/>
    </row>
    <row r="14" spans="1:10" x14ac:dyDescent="0.2">
      <c r="B14" s="57"/>
      <c r="C14" s="58"/>
      <c r="D14" s="58"/>
      <c r="E14" s="58"/>
      <c r="F14" s="58"/>
      <c r="G14" s="59"/>
    </row>
    <row r="15" spans="1:10" x14ac:dyDescent="0.2">
      <c r="B15" s="57"/>
      <c r="C15" s="58"/>
      <c r="D15" s="58"/>
      <c r="E15" s="58"/>
      <c r="F15" s="58"/>
      <c r="G15" s="59"/>
    </row>
    <row r="16" spans="1:10" x14ac:dyDescent="0.2">
      <c r="B16" s="57"/>
      <c r="C16" s="58"/>
      <c r="D16" s="58"/>
      <c r="E16" s="58"/>
      <c r="F16" s="58"/>
      <c r="G16" s="59"/>
    </row>
    <row r="17" spans="2:7" x14ac:dyDescent="0.2">
      <c r="B17" s="57"/>
      <c r="C17" s="58"/>
      <c r="D17" s="58"/>
      <c r="E17" s="58"/>
      <c r="F17" s="58"/>
      <c r="G17" s="59"/>
    </row>
    <row r="18" spans="2:7" x14ac:dyDescent="0.2">
      <c r="B18" s="57"/>
      <c r="C18" s="58"/>
      <c r="D18" s="58"/>
      <c r="E18" s="58"/>
      <c r="F18" s="58"/>
      <c r="G18" s="59"/>
    </row>
    <row r="19" spans="2:7" x14ac:dyDescent="0.2">
      <c r="B19" s="57"/>
      <c r="C19" s="58"/>
      <c r="D19" s="58"/>
      <c r="E19" s="58"/>
      <c r="F19" s="58"/>
      <c r="G19" s="59"/>
    </row>
    <row r="20" spans="2:7" x14ac:dyDescent="0.2">
      <c r="B20" s="57"/>
      <c r="C20" s="58"/>
      <c r="D20" s="58"/>
      <c r="E20" s="58"/>
      <c r="F20" s="58"/>
      <c r="G20" s="59"/>
    </row>
    <row r="21" spans="2:7" x14ac:dyDescent="0.2">
      <c r="B21" s="57"/>
      <c r="C21" s="58"/>
      <c r="D21" s="58"/>
      <c r="E21" s="58"/>
      <c r="F21" s="58"/>
      <c r="G21" s="59"/>
    </row>
    <row r="22" spans="2:7" x14ac:dyDescent="0.2">
      <c r="B22" s="57"/>
      <c r="C22" s="58"/>
      <c r="D22" s="58"/>
      <c r="E22" s="58"/>
      <c r="F22" s="58"/>
      <c r="G22" s="59"/>
    </row>
    <row r="23" spans="2:7" x14ac:dyDescent="0.2">
      <c r="B23" s="57"/>
      <c r="C23" s="58"/>
      <c r="D23" s="58"/>
      <c r="E23" s="58"/>
      <c r="F23" s="58"/>
      <c r="G23" s="59"/>
    </row>
    <row r="24" spans="2:7" x14ac:dyDescent="0.2">
      <c r="B24" s="57"/>
      <c r="C24" s="58"/>
      <c r="D24" s="58"/>
      <c r="E24" s="58"/>
      <c r="F24" s="58"/>
      <c r="G24" s="59"/>
    </row>
    <row r="25" spans="2:7" x14ac:dyDescent="0.2">
      <c r="B25" s="57"/>
      <c r="C25" s="58"/>
      <c r="D25" s="58"/>
      <c r="E25" s="58"/>
      <c r="F25" s="58"/>
      <c r="G25" s="59"/>
    </row>
    <row r="26" spans="2:7" x14ac:dyDescent="0.2">
      <c r="B26" s="57"/>
      <c r="C26" s="58"/>
      <c r="D26" s="58"/>
      <c r="E26" s="58"/>
      <c r="F26" s="58"/>
      <c r="G26" s="59"/>
    </row>
    <row r="27" spans="2:7" x14ac:dyDescent="0.2">
      <c r="B27" s="57"/>
      <c r="C27" s="58"/>
      <c r="D27" s="58"/>
      <c r="E27" s="58"/>
      <c r="F27" s="58"/>
      <c r="G27" s="59"/>
    </row>
    <row r="28" spans="2:7" x14ac:dyDescent="0.2">
      <c r="B28" s="57"/>
      <c r="C28" s="58"/>
      <c r="D28" s="58"/>
      <c r="E28" s="58"/>
      <c r="F28" s="58"/>
      <c r="G28" s="59"/>
    </row>
    <row r="29" spans="2:7" x14ac:dyDescent="0.2">
      <c r="B29" s="57"/>
      <c r="C29" s="58"/>
      <c r="D29" s="58"/>
      <c r="E29" s="58"/>
      <c r="F29" s="58"/>
      <c r="G29" s="59"/>
    </row>
    <row r="30" spans="2:7" x14ac:dyDescent="0.2">
      <c r="B30" s="57"/>
      <c r="C30" s="58"/>
      <c r="D30" s="58"/>
      <c r="E30" s="58"/>
      <c r="F30" s="58"/>
      <c r="G30" s="59"/>
    </row>
    <row r="31" spans="2:7" x14ac:dyDescent="0.2">
      <c r="B31" s="57"/>
      <c r="C31" s="58"/>
      <c r="D31" s="58"/>
      <c r="E31" s="58"/>
      <c r="F31" s="58"/>
      <c r="G31" s="59"/>
    </row>
    <row r="32" spans="2:7" x14ac:dyDescent="0.2">
      <c r="B32" s="57"/>
      <c r="C32" s="58"/>
      <c r="D32" s="58"/>
      <c r="E32" s="58"/>
      <c r="F32" s="58"/>
      <c r="G32" s="59"/>
    </row>
    <row r="33" spans="2:7" x14ac:dyDescent="0.2">
      <c r="B33" s="57"/>
      <c r="C33" s="58"/>
      <c r="D33" s="58"/>
      <c r="E33" s="58"/>
      <c r="F33" s="58"/>
      <c r="G33" s="59"/>
    </row>
    <row r="34" spans="2:7" x14ac:dyDescent="0.2">
      <c r="B34" s="57"/>
      <c r="C34" s="58"/>
      <c r="D34" s="58"/>
      <c r="E34" s="58"/>
      <c r="F34" s="58"/>
      <c r="G34" s="59"/>
    </row>
    <row r="35" spans="2:7" x14ac:dyDescent="0.2">
      <c r="B35" s="57"/>
      <c r="C35" s="58"/>
      <c r="D35" s="58"/>
      <c r="E35" s="58"/>
      <c r="F35" s="58"/>
      <c r="G35" s="59"/>
    </row>
    <row r="36" spans="2:7" x14ac:dyDescent="0.2">
      <c r="B36" s="57"/>
      <c r="C36" s="58"/>
      <c r="D36" s="58"/>
      <c r="E36" s="58"/>
      <c r="F36" s="58"/>
      <c r="G36" s="59"/>
    </row>
    <row r="37" spans="2:7" x14ac:dyDescent="0.2">
      <c r="B37" s="57"/>
      <c r="C37" s="58"/>
      <c r="D37" s="58"/>
      <c r="E37" s="58"/>
      <c r="F37" s="58"/>
      <c r="G37" s="59"/>
    </row>
    <row r="38" spans="2:7" x14ac:dyDescent="0.2">
      <c r="B38" s="57"/>
      <c r="C38" s="58"/>
      <c r="D38" s="58"/>
      <c r="E38" s="58"/>
      <c r="F38" s="58"/>
      <c r="G38" s="59"/>
    </row>
    <row r="39" spans="2:7" x14ac:dyDescent="0.2">
      <c r="B39" s="57"/>
      <c r="C39" s="58"/>
      <c r="D39" s="58"/>
      <c r="E39" s="58"/>
      <c r="F39" s="58"/>
      <c r="G39" s="59"/>
    </row>
    <row r="40" spans="2:7" x14ac:dyDescent="0.2">
      <c r="B40" s="57"/>
      <c r="C40" s="58"/>
      <c r="D40" s="58"/>
      <c r="E40" s="58"/>
      <c r="F40" s="58"/>
      <c r="G40" s="59"/>
    </row>
    <row r="41" spans="2:7" x14ac:dyDescent="0.2">
      <c r="B41" s="57"/>
      <c r="C41" s="58"/>
      <c r="D41" s="58"/>
      <c r="E41" s="58"/>
      <c r="F41" s="58"/>
      <c r="G41" s="59"/>
    </row>
    <row r="42" spans="2:7" x14ac:dyDescent="0.2">
      <c r="B42" s="57"/>
      <c r="C42" s="58"/>
      <c r="D42" s="58"/>
      <c r="E42" s="58"/>
      <c r="F42" s="58"/>
      <c r="G42" s="59"/>
    </row>
    <row r="43" spans="2:7" x14ac:dyDescent="0.2">
      <c r="B43" s="57"/>
      <c r="C43" s="58"/>
      <c r="D43" s="58"/>
      <c r="E43" s="58"/>
      <c r="F43" s="58"/>
      <c r="G43" s="59"/>
    </row>
    <row r="44" spans="2:7" x14ac:dyDescent="0.2">
      <c r="B44" s="57"/>
      <c r="C44" s="58"/>
      <c r="D44" s="58"/>
      <c r="E44" s="58"/>
      <c r="F44" s="58"/>
      <c r="G44" s="59"/>
    </row>
    <row r="45" spans="2:7" x14ac:dyDescent="0.2">
      <c r="B45" s="57"/>
      <c r="C45" s="58"/>
      <c r="D45" s="58"/>
      <c r="E45" s="58"/>
      <c r="F45" s="58"/>
      <c r="G45" s="59"/>
    </row>
    <row r="46" spans="2:7" ht="13.5" thickBot="1" x14ac:dyDescent="0.25">
      <c r="B46" s="60"/>
      <c r="C46" s="61"/>
      <c r="D46" s="61"/>
      <c r="E46" s="61"/>
      <c r="F46" s="61"/>
      <c r="G46" s="62"/>
    </row>
    <row r="47" spans="2:7" ht="13.5" thickTop="1" x14ac:dyDescent="0.2"/>
  </sheetData>
  <mergeCells count="4">
    <mergeCell ref="B10:G46"/>
    <mergeCell ref="A1:D1"/>
    <mergeCell ref="B4:H4"/>
    <mergeCell ref="B3:J3"/>
  </mergeCells>
  <phoneticPr fontId="3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saVersion">
                <anchor moveWithCells="1" sizeWithCells="1">
                  <from>
                    <xdr:col>0</xdr:col>
                    <xdr:colOff>533400</xdr:colOff>
                    <xdr:row>5</xdr:row>
                    <xdr:rowOff>66675</xdr:rowOff>
                  </from>
                  <to>
                    <xdr:col>2</xdr:col>
                    <xdr:colOff>66675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2:I34"/>
  <sheetViews>
    <sheetView workbookViewId="0">
      <selection activeCell="R19" sqref="R19"/>
    </sheetView>
  </sheetViews>
  <sheetFormatPr defaultRowHeight="12.75" x14ac:dyDescent="0.2"/>
  <cols>
    <col min="1" max="1" width="28" customWidth="1"/>
  </cols>
  <sheetData>
    <row r="2" spans="1:5" x14ac:dyDescent="0.2">
      <c r="A2" s="33" t="s">
        <v>328</v>
      </c>
    </row>
    <row r="3" spans="1:5" x14ac:dyDescent="0.2">
      <c r="A3" s="33" t="s">
        <v>329</v>
      </c>
    </row>
    <row r="7" spans="1:5" x14ac:dyDescent="0.2">
      <c r="A7" s="33" t="s">
        <v>302</v>
      </c>
      <c r="B7" s="33" t="s">
        <v>343</v>
      </c>
      <c r="E7" s="12"/>
    </row>
    <row r="8" spans="1:5" x14ac:dyDescent="0.2">
      <c r="A8" s="33" t="s">
        <v>303</v>
      </c>
      <c r="B8" s="33" t="s">
        <v>304</v>
      </c>
    </row>
    <row r="9" spans="1:5" x14ac:dyDescent="0.2">
      <c r="A9" s="33" t="s">
        <v>305</v>
      </c>
      <c r="B9">
        <v>3</v>
      </c>
    </row>
    <row r="10" spans="1:5" x14ac:dyDescent="0.2">
      <c r="A10" s="33" t="s">
        <v>306</v>
      </c>
      <c r="B10">
        <v>14002000</v>
      </c>
    </row>
    <row r="11" spans="1:5" x14ac:dyDescent="0.2">
      <c r="A11" s="33" t="s">
        <v>322</v>
      </c>
      <c r="B11">
        <v>2</v>
      </c>
      <c r="C11" t="s">
        <v>324</v>
      </c>
    </row>
    <row r="12" spans="1:5" x14ac:dyDescent="0.2">
      <c r="A12" s="33" t="s">
        <v>323</v>
      </c>
      <c r="B12">
        <v>1</v>
      </c>
      <c r="C12" t="s">
        <v>325</v>
      </c>
    </row>
    <row r="13" spans="1:5" x14ac:dyDescent="0.2">
      <c r="A13" s="33" t="s">
        <v>337</v>
      </c>
      <c r="B13">
        <v>4</v>
      </c>
    </row>
    <row r="22" spans="1:9" ht="25.5" x14ac:dyDescent="0.2">
      <c r="A22" s="36" t="s">
        <v>327</v>
      </c>
      <c r="C22">
        <v>7</v>
      </c>
    </row>
    <row r="24" spans="1:9" x14ac:dyDescent="0.2">
      <c r="A24" t="s">
        <v>326</v>
      </c>
      <c r="C24" s="33" t="s">
        <v>307</v>
      </c>
      <c r="D24" s="33">
        <v>1</v>
      </c>
      <c r="E24" s="33">
        <v>2</v>
      </c>
      <c r="F24" s="33">
        <v>3</v>
      </c>
      <c r="G24">
        <v>4</v>
      </c>
      <c r="H24">
        <v>5</v>
      </c>
      <c r="I24" t="s">
        <v>308</v>
      </c>
    </row>
    <row r="25" spans="1:9" x14ac:dyDescent="0.2">
      <c r="A25" t="s">
        <v>309</v>
      </c>
      <c r="C25">
        <v>0.19654838740825653</v>
      </c>
      <c r="D25">
        <v>0.19654838740825653</v>
      </c>
      <c r="E25">
        <v>0.19654838740825653</v>
      </c>
      <c r="F25">
        <v>0.19654838740825653</v>
      </c>
      <c r="G25">
        <v>0.19654838740825653</v>
      </c>
      <c r="H25">
        <v>0.19654838740825653</v>
      </c>
    </row>
    <row r="26" spans="1:9" x14ac:dyDescent="0.2">
      <c r="A26" t="s">
        <v>310</v>
      </c>
      <c r="C26">
        <v>0.20493768659749426</v>
      </c>
      <c r="D26">
        <v>0.20493768659749426</v>
      </c>
      <c r="E26">
        <v>0.20493768659749426</v>
      </c>
      <c r="F26">
        <v>0.20493768659749426</v>
      </c>
      <c r="G26">
        <v>0.20493768659749426</v>
      </c>
      <c r="H26">
        <v>0.20493768659749426</v>
      </c>
    </row>
    <row r="27" spans="1:9" x14ac:dyDescent="0.2">
      <c r="A27" t="s">
        <v>311</v>
      </c>
      <c r="C27" s="33">
        <v>13.923596623499588</v>
      </c>
      <c r="D27" s="33">
        <v>14.987596639354424</v>
      </c>
      <c r="E27" s="33">
        <v>15.342261892639348</v>
      </c>
      <c r="F27" s="33">
        <v>16.051596655209259</v>
      </c>
      <c r="G27">
        <v>16.760927161779108</v>
      </c>
      <c r="H27">
        <v>17.115596671064097</v>
      </c>
    </row>
    <row r="28" spans="1:9" x14ac:dyDescent="0.2">
      <c r="A28" t="s">
        <v>312</v>
      </c>
      <c r="C28">
        <v>13.926491792907138</v>
      </c>
      <c r="D28">
        <v>14.990286313075169</v>
      </c>
      <c r="E28">
        <v>15.344889400263341</v>
      </c>
      <c r="F28">
        <v>16.0541080694477</v>
      </c>
      <c r="G28">
        <v>16.763332307344069</v>
      </c>
      <c r="H28">
        <v>17.117951984116591</v>
      </c>
    </row>
    <row r="29" spans="1:9" x14ac:dyDescent="0.2">
      <c r="A29" t="s">
        <v>313</v>
      </c>
      <c r="C29">
        <v>9.6827214583754539E-3</v>
      </c>
      <c r="D29">
        <v>9.6827214583754539E-3</v>
      </c>
      <c r="E29">
        <v>9.6827214583754539E-3</v>
      </c>
      <c r="F29">
        <v>9.6827214583754539E-3</v>
      </c>
      <c r="G29">
        <v>9.6827214583754539E-3</v>
      </c>
      <c r="H29">
        <v>9.6827214583754539E-3</v>
      </c>
    </row>
    <row r="30" spans="1:9" x14ac:dyDescent="0.2">
      <c r="A30" t="s">
        <v>314</v>
      </c>
      <c r="C30">
        <v>-21.422183990478516</v>
      </c>
      <c r="D30">
        <v>-16.615698110529035</v>
      </c>
      <c r="E30">
        <v>-14.934925173333022</v>
      </c>
      <c r="F30">
        <v>-11.455432225307822</v>
      </c>
      <c r="G30">
        <v>-7.8187253824771705</v>
      </c>
      <c r="H30">
        <v>-5.9413863348148759</v>
      </c>
    </row>
    <row r="31" spans="1:9" x14ac:dyDescent="0.2">
      <c r="A31" t="s">
        <v>315</v>
      </c>
      <c r="C31">
        <v>0.16663217544555664</v>
      </c>
      <c r="D31">
        <v>9.8490394651889801E-2</v>
      </c>
      <c r="E31">
        <v>7.5776558576375247E-2</v>
      </c>
      <c r="F31">
        <v>3.0348613858222961E-2</v>
      </c>
      <c r="G31">
        <v>-1.5079058292806147E-2</v>
      </c>
      <c r="H31">
        <v>-3.7793166935443878E-2</v>
      </c>
    </row>
    <row r="32" spans="1:9" x14ac:dyDescent="0.2">
      <c r="A32" t="s">
        <v>316</v>
      </c>
      <c r="C32" s="33">
        <v>21.422834241969539</v>
      </c>
      <c r="D32" s="33">
        <v>16.615992832604729</v>
      </c>
      <c r="E32">
        <v>14.935120547721766</v>
      </c>
      <c r="F32">
        <v>11.455476518333006</v>
      </c>
      <c r="G32">
        <v>7.8187459186039936</v>
      </c>
      <c r="H32">
        <v>5.9415144246300367</v>
      </c>
    </row>
    <row r="33" spans="3:8" x14ac:dyDescent="0.2">
      <c r="C33">
        <v>13.925104753261895</v>
      </c>
      <c r="D33">
        <v>14.988997714302846</v>
      </c>
      <c r="E33">
        <v>15.343630582027235</v>
      </c>
      <c r="F33">
        <v>16.052904866002073</v>
      </c>
      <c r="G33">
        <v>16.762180012690852</v>
      </c>
      <c r="H33">
        <v>17.116823562271371</v>
      </c>
    </row>
    <row r="34" spans="3:8" x14ac:dyDescent="0.2">
      <c r="C34">
        <v>21.422832053764687</v>
      </c>
      <c r="D34">
        <v>16.615990011373889</v>
      </c>
      <c r="E34">
        <v>14.935117408975602</v>
      </c>
      <c r="F34">
        <v>11.455472426180599</v>
      </c>
      <c r="G34">
        <v>7.8187399230689199</v>
      </c>
      <c r="H34">
        <v>5.9415065347933398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ExtractBeamResults">
                <anchor moveWithCells="1" sizeWithCells="1">
                  <from>
                    <xdr:col>4</xdr:col>
                    <xdr:colOff>180975</xdr:colOff>
                    <xdr:row>7</xdr:row>
                    <xdr:rowOff>152400</xdr:rowOff>
                  </from>
                  <to>
                    <xdr:col>7</xdr:col>
                    <xdr:colOff>428625</xdr:colOff>
                    <xdr:row>12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2:C12"/>
  <sheetViews>
    <sheetView zoomScaleNormal="100" workbookViewId="0">
      <selection activeCell="H35" sqref="H35"/>
    </sheetView>
  </sheetViews>
  <sheetFormatPr defaultRowHeight="12.75" x14ac:dyDescent="0.2"/>
  <cols>
    <col min="1" max="1" width="13.42578125" customWidth="1"/>
    <col min="2" max="2" width="35.85546875" customWidth="1"/>
    <col min="3" max="3" width="45.42578125" customWidth="1"/>
  </cols>
  <sheetData>
    <row r="2" spans="1:3" x14ac:dyDescent="0.2">
      <c r="A2" t="s">
        <v>317</v>
      </c>
      <c r="B2" s="33" t="s">
        <v>345</v>
      </c>
      <c r="C2" s="12"/>
    </row>
    <row r="3" spans="1:3" x14ac:dyDescent="0.2">
      <c r="C3" t="s">
        <v>318</v>
      </c>
    </row>
    <row r="4" spans="1:3" x14ac:dyDescent="0.2">
      <c r="A4" t="s">
        <v>319</v>
      </c>
      <c r="B4" t="s">
        <v>31</v>
      </c>
      <c r="C4" s="34" t="s">
        <v>344</v>
      </c>
    </row>
    <row r="5" spans="1:3" x14ac:dyDescent="0.2">
      <c r="C5" s="35"/>
    </row>
    <row r="6" spans="1:3" x14ac:dyDescent="0.2">
      <c r="A6" t="s">
        <v>320</v>
      </c>
      <c r="B6" t="s">
        <v>321</v>
      </c>
    </row>
    <row r="7" spans="1:3" x14ac:dyDescent="0.2">
      <c r="A7">
        <v>1</v>
      </c>
      <c r="B7">
        <f t="shared" ref="B7:B12" si="0">100+$A7</f>
        <v>101</v>
      </c>
    </row>
    <row r="8" spans="1:3" x14ac:dyDescent="0.2">
      <c r="A8">
        <v>2</v>
      </c>
      <c r="B8">
        <f t="shared" si="0"/>
        <v>102</v>
      </c>
    </row>
    <row r="9" spans="1:3" x14ac:dyDescent="0.2">
      <c r="A9">
        <v>3</v>
      </c>
      <c r="B9">
        <f t="shared" si="0"/>
        <v>103</v>
      </c>
    </row>
    <row r="10" spans="1:3" x14ac:dyDescent="0.2">
      <c r="A10">
        <v>4</v>
      </c>
      <c r="B10">
        <f t="shared" si="0"/>
        <v>104</v>
      </c>
    </row>
    <row r="11" spans="1:3" x14ac:dyDescent="0.2">
      <c r="A11">
        <v>5</v>
      </c>
      <c r="B11">
        <f t="shared" si="0"/>
        <v>105</v>
      </c>
    </row>
    <row r="12" spans="1:3" x14ac:dyDescent="0.2">
      <c r="A12">
        <v>6</v>
      </c>
      <c r="B12">
        <f t="shared" si="0"/>
        <v>106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Renumber">
                <anchor moveWithCells="1" sizeWithCells="1">
                  <from>
                    <xdr:col>2</xdr:col>
                    <xdr:colOff>228600</xdr:colOff>
                    <xdr:row>13</xdr:row>
                    <xdr:rowOff>95250</xdr:rowOff>
                  </from>
                  <to>
                    <xdr:col>2</xdr:col>
                    <xdr:colOff>1866900</xdr:colOff>
                    <xdr:row>16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Excel To GSA</vt:lpstr>
      <vt:lpstr>GSA To Excel</vt:lpstr>
      <vt:lpstr>List Query</vt:lpstr>
      <vt:lpstr>GSA To Excel Tidy</vt:lpstr>
      <vt:lpstr>Print or Save Views</vt:lpstr>
      <vt:lpstr>Case Interrogation</vt:lpstr>
      <vt:lpstr>Output</vt:lpstr>
      <vt:lpstr>Remote Interface</vt:lpstr>
      <vt:lpstr>Version Check</vt:lpstr>
      <vt:lpstr>ExtractBeamResults</vt:lpstr>
      <vt:lpstr>Renumber Entities</vt:lpstr>
    </vt:vector>
  </TitlesOfParts>
  <Company>Arup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hendry</dc:creator>
  <cp:lastModifiedBy>Thomas Li</cp:lastModifiedBy>
  <cp:lastPrinted>2004-05-05T14:48:40Z</cp:lastPrinted>
  <dcterms:created xsi:type="dcterms:W3CDTF">2002-10-04T16:07:18Z</dcterms:created>
  <dcterms:modified xsi:type="dcterms:W3CDTF">2023-09-26T10:14:48Z</dcterms:modified>
</cp:coreProperties>
</file>